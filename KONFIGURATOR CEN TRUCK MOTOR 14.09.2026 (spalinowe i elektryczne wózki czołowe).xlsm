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en_skoroszyt"/>
  <mc:AlternateContent xmlns:mc="http://schemas.openxmlformats.org/markup-compatibility/2006">
    <mc:Choice Requires="x15">
      <x15ac:absPath xmlns:x15ac="http://schemas.microsoft.com/office/spreadsheetml/2010/11/ac" url="https://truckmotor-my.sharepoint.com/personal/karolina_leskow_truckmotor_onmicrosoft_com/Documents/"/>
    </mc:Choice>
  </mc:AlternateContent>
  <xr:revisionPtr revIDLastSave="297" documentId="13_ncr:1_{151212D0-789D-4B37-9FE7-F64E1599956B}" xr6:coauthVersionLast="47" xr6:coauthVersionMax="47" xr10:uidLastSave="{C5B62EC5-74B7-4212-9819-3E09EDA48997}"/>
  <workbookProtection workbookAlgorithmName="SHA-512" workbookHashValue="5PGANrZ1pxe7utWqV9IpMjZBLSZZxsCbrreoEGS4VLUUN2ZKOODrM5Satmh9mKwBzkF1Dxxr+JRJLnjYmrgyLg==" workbookSaltValue="lnYMuOeSrIJdLbuZGmPiGw==" workbookSpinCount="100000" lockStructure="1"/>
  <bookViews>
    <workbookView minimized="1" xWindow="6108" yWindow="4068" windowWidth="17280" windowHeight="9960" tabRatio="857" xr2:uid="{00000000-000D-0000-FFFF-FFFF00000000}"/>
  </bookViews>
  <sheets>
    <sheet name="Kalkulator Oferty" sheetId="1" r:id="rId1"/>
    <sheet name="Baza_oświetlenie" sheetId="13" state="veryHidden" r:id="rId2"/>
    <sheet name="Baza_Wozki" sheetId="2" state="veryHidden" r:id="rId3"/>
    <sheet name="Baza_Maszty" sheetId="3" state="veryHidden" r:id="rId4"/>
    <sheet name="Baza_Opony" sheetId="4" state="veryHidden" r:id="rId5"/>
    <sheet name="Baza_Osprzęt" sheetId="5" state="veryHidden" r:id="rId6"/>
    <sheet name="Baza_OPS+kay" sheetId="6" state="veryHidden" r:id="rId7"/>
    <sheet name="Baza_Kabina" sheetId="7" state="veryHidden" r:id="rId8"/>
    <sheet name="Baza_Siedzisko" sheetId="8" state="veryHidden" r:id="rId9"/>
    <sheet name="Baza_Widły" sheetId="9" state="veryHidden" r:id="rId10"/>
    <sheet name="Baza_Bateria" sheetId="10" state="veryHidden" r:id="rId11"/>
    <sheet name="Baza_Ładowarka" sheetId="11" state="veryHidden" r:id="rId12"/>
    <sheet name="KAROL" sheetId="12" r:id="rId13"/>
  </sheets>
  <definedNames>
    <definedName name="_xlnm._FilterDatabase" localSheetId="2" hidden="1">Baza_Wozki!$H$1:$H$163</definedName>
    <definedName name="_xlpm.kol" hidden="1" xlm="1">#NAME?</definedName>
    <definedName name="_xlpm.wiersz" hidden="1" xlm="1">#NAME?</definedName>
    <definedName name="_xlpm.zakresCen" hidden="1" xlm="1">#NAME?</definedName>
    <definedName name="ListaModeliFiltrowana">Baza_Wozki!$Z$1:$Z$68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1" l="1"/>
  <c r="G15" i="1" l="1"/>
  <c r="C8" i="1" l="1"/>
  <c r="H16" i="1" l="1"/>
  <c r="E6" i="1"/>
  <c r="F5" i="1" l="1"/>
  <c r="E11" i="1"/>
  <c r="F4" i="1"/>
  <c r="E13" i="1" s="1" a="1"/>
  <c r="E19" i="1" l="1" a="1"/>
  <c r="E19" i="1" s="1"/>
  <c r="E20" i="1" a="1"/>
  <c r="E20" i="1" s="1"/>
  <c r="E22" i="1" a="1"/>
  <c r="E22" i="1" s="1"/>
  <c r="I15" i="1" a="1"/>
  <c r="I15" i="1" s="1"/>
  <c r="H15" i="1" a="1"/>
  <c r="H15" i="1" s="1"/>
  <c r="H13" i="1" a="1"/>
  <c r="I12" i="1" a="1"/>
  <c r="E21" i="1" a="1"/>
  <c r="E18" i="1" a="1"/>
  <c r="E17" i="1" a="1"/>
  <c r="E16" i="1" a="1"/>
  <c r="E15" i="1" a="1"/>
  <c r="E14" i="1" a="1"/>
  <c r="E21" i="1" l="1"/>
  <c r="E18" i="1"/>
  <c r="E17" i="1"/>
  <c r="E16" i="1"/>
  <c r="E15" i="1"/>
  <c r="E14" i="1"/>
  <c r="H13" i="1"/>
  <c r="C23" i="1" s="1"/>
  <c r="E13" i="1"/>
  <c r="I12" i="1"/>
  <c r="I13" i="1" l="1" a="1"/>
  <c r="I13" i="1" s="1"/>
  <c r="E23" i="1" a="1"/>
  <c r="E23" i="1" s="1"/>
  <c r="I16" i="1" l="1"/>
  <c r="I18" i="1" l="1"/>
  <c r="I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<sst xmlns="http://schemas.openxmlformats.org/spreadsheetml/2006/main" count="2336" uniqueCount="440">
  <si>
    <t>Kurs USD/PLN:</t>
  </si>
  <si>
    <t>Typ Napędu:</t>
  </si>
  <si>
    <t>Cena Składowa (USD)</t>
  </si>
  <si>
    <t>Model Wózka:</t>
  </si>
  <si>
    <t>Grupa Tonażowa:</t>
  </si>
  <si>
    <t>Maszt (Wysokość):</t>
  </si>
  <si>
    <t>Rodzaj Opon:</t>
  </si>
  <si>
    <t>Kabina / Ogrzewanie:</t>
  </si>
  <si>
    <t>Osprzęt (Przesuw itp.):</t>
  </si>
  <si>
    <t>PODSUMOWANIE OFERTY</t>
  </si>
  <si>
    <t>CENA DLA KLIENTA (PLN NETTO):</t>
  </si>
  <si>
    <t>Model Wózka</t>
  </si>
  <si>
    <t>Typ Napędu</t>
  </si>
  <si>
    <t>Grupa Tonażowa</t>
  </si>
  <si>
    <t>Cena Bazowa (USD)</t>
  </si>
  <si>
    <t>CPCD15-KU18H-D</t>
  </si>
  <si>
    <t>Spalinowy (Diesel/LPG)</t>
  </si>
  <si>
    <t>1-1.8T</t>
  </si>
  <si>
    <t>CPCD18-KU18H-D</t>
  </si>
  <si>
    <t>2-2.5T</t>
  </si>
  <si>
    <t>3-3.5T</t>
  </si>
  <si>
    <t>CPCD50-CU1G3</t>
  </si>
  <si>
    <t>4-5T</t>
  </si>
  <si>
    <t>CPCD70-CU1G3</t>
  </si>
  <si>
    <t>5-7T</t>
  </si>
  <si>
    <t>CPD15-A3LIH4-M</t>
  </si>
  <si>
    <t>Elektryczny (Li-Ion/Kwas)</t>
  </si>
  <si>
    <t>CPD20-A3LIH4-M</t>
  </si>
  <si>
    <t>CPD25-GB2LI-M</t>
  </si>
  <si>
    <t>CPD30-GB2LI-M</t>
  </si>
  <si>
    <t>CPD35-GB2LI-M</t>
  </si>
  <si>
    <t>CPD40-A2DLIG3</t>
  </si>
  <si>
    <t>CPD50-A2DLIG3</t>
  </si>
  <si>
    <t>Typ Masztu</t>
  </si>
  <si>
    <t>Opony - Typ</t>
  </si>
  <si>
    <t>Pneumatyczne (Standard)</t>
  </si>
  <si>
    <t>Pełne (Superelastyczne/Solid)</t>
  </si>
  <si>
    <t>Niebrudzące (Non-marking)</t>
  </si>
  <si>
    <t>G3</t>
  </si>
  <si>
    <t>Seria</t>
  </si>
  <si>
    <t>Masa</t>
  </si>
  <si>
    <t>H3</t>
  </si>
  <si>
    <t>H4</t>
  </si>
  <si>
    <t>CPCD15-XC26H-D</t>
  </si>
  <si>
    <t>CPCD18-XC26H-D</t>
  </si>
  <si>
    <t>CPCD20-KU20H</t>
  </si>
  <si>
    <t>CPCD25-KU20H</t>
  </si>
  <si>
    <t>CPCD30-KU20H</t>
  </si>
  <si>
    <t>CPCD35-KU20H</t>
  </si>
  <si>
    <t>CPCD20-XC26H</t>
  </si>
  <si>
    <t>CPCD25-XC26H</t>
  </si>
  <si>
    <t>CPCD30-XC26H</t>
  </si>
  <si>
    <t>CPCD35-XC26H</t>
  </si>
  <si>
    <t>CPYD15-KU1H-D</t>
  </si>
  <si>
    <t>CPYD18-KU1H-D</t>
  </si>
  <si>
    <t>CPQYD15-KU1H-D</t>
  </si>
  <si>
    <t>CPQYD18-KU1H</t>
  </si>
  <si>
    <t>Opis</t>
  </si>
  <si>
    <t>CHINESE XINCHANG 3E22YG51 (Stage V )(Diesel) with Hydraulic Automatic Transmission</t>
  </si>
  <si>
    <t>KUBOTA V2403-CR-E5B(Stage V )(Diesel) with Hydraulic Automatic Transmission</t>
  </si>
  <si>
    <t>KUBOTA V2403-CR-TE5B(Stage V )(Diesel) with Hydraulic Automatic Transmission</t>
  </si>
  <si>
    <t>KUBOTA WG2503( Stage V) LPG with Hydraulic Automatic Transmission</t>
  </si>
  <si>
    <t>KUBOTA WG2503( Stage V) Dual fuel with Hydraulic Automatic Transmission</t>
  </si>
  <si>
    <t>CPYD20-KU1H</t>
  </si>
  <si>
    <t>CPYD25-KU1H</t>
  </si>
  <si>
    <t>CPYD30-KU1H</t>
  </si>
  <si>
    <t>CPYD35-KU1H</t>
  </si>
  <si>
    <t>CPQYD20-KU1H</t>
  </si>
  <si>
    <t>CPQYD25-KU1H</t>
  </si>
  <si>
    <t>CPQYD30-KU1H</t>
  </si>
  <si>
    <t>CPQYD35-KU1H</t>
  </si>
  <si>
    <t>CPYD20-RC5H</t>
  </si>
  <si>
    <t>CPYD25-RC5H</t>
  </si>
  <si>
    <t>CPYD30-RC5H</t>
  </si>
  <si>
    <t>CPYD35-RC5H</t>
  </si>
  <si>
    <t>GCT GK25 ( Stage V) LPG with Hydraulic Automatic Transmission</t>
  </si>
  <si>
    <t>CPQYD20-RC5H</t>
  </si>
  <si>
    <t>CPQYD25-RC5H</t>
  </si>
  <si>
    <t>CPQYD30-RC5H</t>
  </si>
  <si>
    <t>CPQYD35-RC5H</t>
  </si>
  <si>
    <t>GCT GK25 ( Stage V) Dual fuel with Hydraulic Automatic Transmission</t>
  </si>
  <si>
    <t>CPCD20-KU17G3</t>
  </si>
  <si>
    <t>CPCD25-KU17G3</t>
  </si>
  <si>
    <t>CPCD30-KU17G3</t>
  </si>
  <si>
    <t>CPCD35-KU17G3</t>
  </si>
  <si>
    <t>CPYD20-KU1G3</t>
  </si>
  <si>
    <t>CPYD25-KU1G3</t>
  </si>
  <si>
    <t>CPYD30-KU1G3</t>
  </si>
  <si>
    <t>CPYD35-KU1G3</t>
  </si>
  <si>
    <t>CPQYD20-KU1G3</t>
  </si>
  <si>
    <t>CPQYD25-KU1G3</t>
  </si>
  <si>
    <t>CPQYD30-KU1G3</t>
  </si>
  <si>
    <t>CPQYD35-KU1G3</t>
  </si>
  <si>
    <t>KUBOTA V2403-CR-TE5B(Stage V )(Diesel) in Higher configuration with HELI Flexible Transmission WET Brake ZF transmission</t>
  </si>
  <si>
    <t>KUBOTA WG2503( Stage V) LPG in Higher configuration with HELI Flexible Transmission WET Brake ZF transmission</t>
  </si>
  <si>
    <t>KUBOTA WG2503( Stage V) Dual fuel in Higher configuration with HELI Flexible Transmission WET Brake ZF transmission</t>
  </si>
  <si>
    <t>CPYD20-KU1RG3</t>
  </si>
  <si>
    <t>CPYD25-KU1RG3</t>
  </si>
  <si>
    <t>CPYD30-KU1RG3</t>
  </si>
  <si>
    <t>CPYD35-KU1RG3</t>
  </si>
  <si>
    <t>CPQYD20-KU1RG3</t>
  </si>
  <si>
    <t>CPQYD25-KU1RG3</t>
  </si>
  <si>
    <t>CPQYD30-KU1RG3</t>
  </si>
  <si>
    <t>CPQYD35-KU1RG3</t>
  </si>
  <si>
    <t>CPCD20-KU24RG3</t>
  </si>
  <si>
    <t>CPCD25-KU24RG3</t>
  </si>
  <si>
    <t>CPCD30-KU24RG3</t>
  </si>
  <si>
    <t>CPCD35-KU24RG3</t>
  </si>
  <si>
    <t>CPCD25-XC26RG3</t>
  </si>
  <si>
    <t>CPCD35-XC26RG3</t>
  </si>
  <si>
    <t>KUBOTA WG2503( Stage V) LPG in Standard configuration with HELI Transmission</t>
  </si>
  <si>
    <t>KUBOTA WG2503( Stage V) Dual fuel in Standard configuration with HELI Transmission</t>
  </si>
  <si>
    <t>KUBOTA 2403-CR-TE5(Stage V )(Diesel) in Standard configuration with HELI Transmission</t>
  </si>
  <si>
    <t>CHINESE XINCHANG 3E22YG51 (Stage V )(Diesel) in Standard configuration with HELI Transmission</t>
  </si>
  <si>
    <t>CPYD40-KUG3</t>
  </si>
  <si>
    <t>CPYD45-KUG3</t>
  </si>
  <si>
    <t>CPYD50-KUG3</t>
  </si>
  <si>
    <t>CPYD50-KUG3-06</t>
  </si>
  <si>
    <t>KUBOTA WG3800  STAGE V LPG</t>
  </si>
  <si>
    <t>CPQYD40-KUG3</t>
  </si>
  <si>
    <t>CPQYD45-KUG3</t>
  </si>
  <si>
    <t>CPQYD50-KUG3</t>
  </si>
  <si>
    <t>CPQYD50-KUG3-06</t>
  </si>
  <si>
    <t>KUBOTA WG3800  STAGE V dual fuel</t>
  </si>
  <si>
    <t>CPCD40-YC4G3</t>
  </si>
  <si>
    <t>CPCD45-YC4G3</t>
  </si>
  <si>
    <t>CPCD50-YC4G3</t>
  </si>
  <si>
    <t>CPCD50-YC4G3-06</t>
  </si>
  <si>
    <t>CPCD40-KU4G3</t>
  </si>
  <si>
    <t>CPCD45-KU4G3</t>
  </si>
  <si>
    <t>CPCD50-KU4G3</t>
  </si>
  <si>
    <t>YUCHAI YCF3675  STAGE V diesel</t>
  </si>
  <si>
    <t>KUBOTA V3307-CR-TIE5, Stage V diesel</t>
  </si>
  <si>
    <t>CPCD50-YC2G3</t>
  </si>
  <si>
    <t>CPCD60-YC2G3</t>
  </si>
  <si>
    <t>CPCD70-YC2G3</t>
  </si>
  <si>
    <t>CPCD85-YC2G3</t>
  </si>
  <si>
    <t>CPCD100-YC2G3</t>
  </si>
  <si>
    <t>CPCD60-CU1G3</t>
  </si>
  <si>
    <t>CPCD85-CU1G3</t>
  </si>
  <si>
    <t>CPCD100-CU1G3</t>
  </si>
  <si>
    <t>CPCD50-CU1ZG3</t>
  </si>
  <si>
    <t>CPCD60-CU1ZG3</t>
  </si>
  <si>
    <t>CPCD70-CU1ZG3</t>
  </si>
  <si>
    <t>CPCD85-CU1ZG3</t>
  </si>
  <si>
    <t>CPCD100-CU1ZG3</t>
  </si>
  <si>
    <t>CPYD50-KU3G3</t>
  </si>
  <si>
    <t>CPYD60-KU3G3</t>
  </si>
  <si>
    <t>CPYD70-KU3G3</t>
  </si>
  <si>
    <t>CPQYD50-KU3G3</t>
  </si>
  <si>
    <t>CPQYD60-KU3G3</t>
  </si>
  <si>
    <t>CPQYD70-KU3G3</t>
  </si>
  <si>
    <t>Chinese Yuchai stage V</t>
  </si>
  <si>
    <t>Cummins QSF3.8 stage V</t>
  </si>
  <si>
    <t>Cummins QSF3.8 stage V in higher performance with ZF transmission, wet brake axle, fingertips</t>
  </si>
  <si>
    <t>KUBOTA WG3800 LPG</t>
  </si>
  <si>
    <t>KUBOTA WG3800(Dual fuel)</t>
  </si>
  <si>
    <t>CPD18-A3LIH4-M</t>
  </si>
  <si>
    <t>CPD25-A3LIH4-M</t>
  </si>
  <si>
    <t>Inmotion Controler with standard battery HELI 80V/150AH</t>
  </si>
  <si>
    <t>Inmotion Controler with standard battery HELI 80V/202AH</t>
  </si>
  <si>
    <t>Inmotion Controler with standard battery HELI 80V/250AH</t>
  </si>
  <si>
    <t>CPD15-GC6LI-S</t>
  </si>
  <si>
    <t>CPD15-GB2LI-M</t>
  </si>
  <si>
    <t>CPD18-GC6LI-S</t>
  </si>
  <si>
    <t>CPD18-GB2LI-M</t>
  </si>
  <si>
    <t>Heli Controler with standard battery HELI 80V/150AH</t>
  </si>
  <si>
    <t>CPD20-GC6LI-S</t>
  </si>
  <si>
    <t>CPD20-GB2LI-M</t>
  </si>
  <si>
    <t>CPD25-GC6LI-S</t>
  </si>
  <si>
    <t>Heli Controler with standard battery HELI 80V/202AH</t>
  </si>
  <si>
    <t>Heli Controler with standard battery HELI 80V/280AH</t>
  </si>
  <si>
    <t>CPD30-GC6LI-S</t>
  </si>
  <si>
    <t>CPD35-GC6LI-S</t>
  </si>
  <si>
    <t>G2</t>
  </si>
  <si>
    <t>ZAPI Controler with standard battery HELI 80V/202AH</t>
  </si>
  <si>
    <t>ZAPI Controler with standard battery HELI 80V/280AH</t>
  </si>
  <si>
    <t>ZAPI Controler with standard battery HELI 80V/404AH</t>
  </si>
  <si>
    <t>CPD15-A2DLIG3-M</t>
  </si>
  <si>
    <t>CPD16-A2DLIG3-M</t>
  </si>
  <si>
    <t>CPD18-A2DLIG3-M</t>
  </si>
  <si>
    <t>CPD20-A2DLIG3-M</t>
  </si>
  <si>
    <t>CPD25-GE2DLI</t>
  </si>
  <si>
    <t>CPD30-GE2DLI</t>
  </si>
  <si>
    <t>CPD35-GE2DLI</t>
  </si>
  <si>
    <t>CPD45-A2DLIG3</t>
  </si>
  <si>
    <t>ZAPI Controler with standard battery HELI 80V/560AH</t>
  </si>
  <si>
    <t>ZAPI Controler with standard battery HELI 80V/606AH</t>
  </si>
  <si>
    <t>CPD50-GD2LI-600</t>
  </si>
  <si>
    <t>CPD60-GB2DLI</t>
  </si>
  <si>
    <t>CPD70-GB2DLI</t>
  </si>
  <si>
    <t>CPD85-GB2DLI</t>
  </si>
  <si>
    <t>CPD100-GB2DLI</t>
  </si>
  <si>
    <t>ZAPI Controler with standard battery HELI 80V/808AH</t>
  </si>
  <si>
    <t>CPD40-G2A11LI</t>
  </si>
  <si>
    <t>CPD45-G2A11LI</t>
  </si>
  <si>
    <t>CPD50-G2A11LI</t>
  </si>
  <si>
    <t>CPD50-G2A11LI-600</t>
  </si>
  <si>
    <t>VADER Controler with standard battery VADER 153.6V/230AH</t>
  </si>
  <si>
    <t>CPD60-A11LIG2-H</t>
  </si>
  <si>
    <t>CPD70-A11LIG2-H</t>
  </si>
  <si>
    <t>CPD85-A11LIG2-H</t>
  </si>
  <si>
    <t>CPD100-A11LIG2-H</t>
  </si>
  <si>
    <t>VADER Controler with standard battery HELI 326.4V/150AH</t>
  </si>
  <si>
    <t>VADER Controler with standard battery HELI 326.4V/202AH</t>
  </si>
  <si>
    <t>CPD13SQ-A2LIG3-M</t>
  </si>
  <si>
    <t>CPD15SQ-A2LIG3-M</t>
  </si>
  <si>
    <t>CPD16SQ-A2LIG3-M</t>
  </si>
  <si>
    <t>CPD18SQ-A2LIG3-M</t>
  </si>
  <si>
    <t>CPD20SQ-A2LIG3-M</t>
  </si>
  <si>
    <t>CPD13SH-A2LIG2</t>
  </si>
  <si>
    <t>CPD15SH-A2LIG2</t>
  </si>
  <si>
    <t>CPD08SQ-A1LIH4</t>
  </si>
  <si>
    <t>CPD10SQ-A1LIH4</t>
  </si>
  <si>
    <t>CPD12SQ-A1LIH4</t>
  </si>
  <si>
    <t>CQD12-GB2SLI</t>
  </si>
  <si>
    <t>CQD14-GB2SLI</t>
  </si>
  <si>
    <t>CQD16-GB2SLI</t>
  </si>
  <si>
    <t>CQD20-GB2SLI</t>
  </si>
  <si>
    <t>CQD16-GB2SHDLI</t>
  </si>
  <si>
    <t>CQD20-GB2SHDLI</t>
  </si>
  <si>
    <t>3-wheel forklift front drive, ZAPI Controler with standard battery HELI 80V/150AH</t>
  </si>
  <si>
    <t>3-wheel forklift front drive, ZAPI Controler with standard battery HELI 80V/202AH</t>
  </si>
  <si>
    <t>3-wheel forklift front drive, CURTIS Controler with standard battery HELI 24V/280AH</t>
  </si>
  <si>
    <t>3-wheel forklift front drive, CURTIS Controler with standard battery HELI 24V/250AH</t>
  </si>
  <si>
    <t>reachtruck, ZAPI Controler with standard battery HELI 80V/150AH</t>
  </si>
  <si>
    <t>reachtruck, ZAPI Controler with standard battery HELI 80V/202AH</t>
  </si>
  <si>
    <t>reachtruck, ZAPI Controler with standard battery HELI 80V/280AH</t>
  </si>
  <si>
    <t>CPD15-A3H4-M</t>
  </si>
  <si>
    <t>CPD18-A3H4-M</t>
  </si>
  <si>
    <t>CPD20-A3H4-M</t>
  </si>
  <si>
    <t>CPD25-A3H4-M</t>
  </si>
  <si>
    <t>CPD30-A3H4-M</t>
  </si>
  <si>
    <t>CPD35-A3H4-M</t>
  </si>
  <si>
    <t>CPD15SQ-A2PG3-M</t>
  </si>
  <si>
    <t>CPD16SQ-A2PG3-M</t>
  </si>
  <si>
    <t>CPD18SQ-A2PG3-M</t>
  </si>
  <si>
    <t>CPD20SQ-A2PG3-M</t>
  </si>
  <si>
    <t>Inmotion Controler without lead-acid battery</t>
  </si>
  <si>
    <t>3-wheel forklift front drive, ZAPI Controler without lead-acid battery</t>
  </si>
  <si>
    <t>CPD13SH-A2G2</t>
  </si>
  <si>
    <t>CPD15SH-A2G2</t>
  </si>
  <si>
    <t>CPD08SQ-A1H4</t>
  </si>
  <si>
    <t>CPD10SQ-A1H4</t>
  </si>
  <si>
    <t>CPD12SQ-A1H4</t>
  </si>
  <si>
    <t>3-wheel forklift front drive, Curtis Controler without lead-acid battery</t>
  </si>
  <si>
    <r>
      <t>CPD30-</t>
    </r>
    <r>
      <rPr>
        <sz val="11"/>
        <rFont val="Calibri"/>
        <family val="2"/>
        <charset val="238"/>
        <scheme val="minor"/>
      </rPr>
      <t>A3LIH4-M</t>
    </r>
  </si>
  <si>
    <r>
      <t>CPD35-</t>
    </r>
    <r>
      <rPr>
        <sz val="11"/>
        <rFont val="Calibri"/>
        <family val="2"/>
        <charset val="238"/>
        <scheme val="minor"/>
      </rPr>
      <t>A3LIH4-M</t>
    </r>
  </si>
  <si>
    <t>3 sekcje</t>
  </si>
  <si>
    <t>4 sekcje</t>
  </si>
  <si>
    <t>M200</t>
  </si>
  <si>
    <t>M250</t>
  </si>
  <si>
    <t>M300</t>
  </si>
  <si>
    <t>M330</t>
  </si>
  <si>
    <t>M350</t>
  </si>
  <si>
    <t>M370</t>
  </si>
  <si>
    <t>M400</t>
  </si>
  <si>
    <t>M425</t>
  </si>
  <si>
    <t>M450</t>
  </si>
  <si>
    <t>M500</t>
  </si>
  <si>
    <t>M550</t>
  </si>
  <si>
    <t>M600</t>
  </si>
  <si>
    <t>ZM200</t>
  </si>
  <si>
    <t>ZM250</t>
  </si>
  <si>
    <t>ZM300</t>
  </si>
  <si>
    <t>ZM330</t>
  </si>
  <si>
    <t>ZM350</t>
  </si>
  <si>
    <t>ZM370</t>
  </si>
  <si>
    <t>ZM375</t>
  </si>
  <si>
    <t>ZM400</t>
  </si>
  <si>
    <t>ZM425</t>
  </si>
  <si>
    <t>ZM450</t>
  </si>
  <si>
    <t>ZM500</t>
  </si>
  <si>
    <t>ZM550</t>
  </si>
  <si>
    <t>ZM600</t>
  </si>
  <si>
    <t>ZSM360</t>
  </si>
  <si>
    <t>ZSM400</t>
  </si>
  <si>
    <t>ZSM435</t>
  </si>
  <si>
    <t>ZSM450</t>
  </si>
  <si>
    <t>ZSM470</t>
  </si>
  <si>
    <t>ZSM480</t>
  </si>
  <si>
    <t>ZSM500</t>
  </si>
  <si>
    <t>ZSM540</t>
  </si>
  <si>
    <t>ZSM600</t>
  </si>
  <si>
    <t>ZSM650</t>
  </si>
  <si>
    <t>ZSM700</t>
  </si>
  <si>
    <t>M475</t>
  </si>
  <si>
    <t>M260</t>
  </si>
  <si>
    <t>M270</t>
  </si>
  <si>
    <t>ZM261</t>
  </si>
  <si>
    <t>ZM271</t>
  </si>
  <si>
    <t>ZM475</t>
  </si>
  <si>
    <t>ZSM392</t>
  </si>
  <si>
    <t>M375</t>
  </si>
  <si>
    <t>ZSM550</t>
  </si>
  <si>
    <t>ZSM750</t>
  </si>
  <si>
    <t>ZSM800</t>
  </si>
  <si>
    <t>8-9T</t>
  </si>
  <si>
    <t>10T</t>
  </si>
  <si>
    <t>ST</t>
  </si>
  <si>
    <t>HD</t>
  </si>
  <si>
    <t>Przesuw boczny wideł zawieszany</t>
  </si>
  <si>
    <t>Przesuw boczny wideł zintegrowany</t>
  </si>
  <si>
    <t>Pozycjoner z przesuwem dla masztu triplex ZSM i innych</t>
  </si>
  <si>
    <t>Pozycjoner z przesuwem tylko dla masztu duplex ZM</t>
  </si>
  <si>
    <t>Pozycjoner z przesuwem tylko dla masztu duplex M</t>
  </si>
  <si>
    <t>Pozycjoner z przesuwem 1845 mm</t>
  </si>
  <si>
    <t>Pozycjoner z przesuwem 2420 mm</t>
  </si>
  <si>
    <t>Pozycjoner z przesuwem TY70G-C1</t>
  </si>
  <si>
    <t>Pozycjoner z przesuwem 2008 mm</t>
  </si>
  <si>
    <t>Pozycjoner z przesuwem 2228 mm</t>
  </si>
  <si>
    <t>Pozycjoner z przesuwem 2464 mm</t>
  </si>
  <si>
    <t>Pozycjoner z przesuwem 2690 mm</t>
  </si>
  <si>
    <t>OPS</t>
  </si>
  <si>
    <t>FULL OPS</t>
  </si>
  <si>
    <t>universal key &amp;CB Weight net</t>
  </si>
  <si>
    <t>universal key</t>
  </si>
  <si>
    <t>KEY AND PROTECTION</t>
  </si>
  <si>
    <t>KABINA</t>
  </si>
  <si>
    <t>Kabina ogrzewana z nawiewem</t>
  </si>
  <si>
    <t>Przednia szyba z wycieraczką</t>
  </si>
  <si>
    <t>Tylna szyba</t>
  </si>
  <si>
    <t>Top window</t>
  </si>
  <si>
    <t>Przednia szyba z wycieraczką i top window</t>
  </si>
  <si>
    <t>Półkabina</t>
  </si>
  <si>
    <t>SIEDZISKO</t>
  </si>
  <si>
    <t>Z fingertipami</t>
  </si>
  <si>
    <t>Grammer full suspension seat</t>
  </si>
  <si>
    <t>WIDŁY</t>
  </si>
  <si>
    <t>M290</t>
  </si>
  <si>
    <t>M380</t>
  </si>
  <si>
    <t>M420</t>
  </si>
  <si>
    <t>M440</t>
  </si>
  <si>
    <t>M460</t>
  </si>
  <si>
    <t>M320</t>
  </si>
  <si>
    <t>M360</t>
  </si>
  <si>
    <t>ZSM430</t>
  </si>
  <si>
    <t>ZSM460</t>
  </si>
  <si>
    <t>ZSM570</t>
  </si>
  <si>
    <t>ZSM630</t>
  </si>
  <si>
    <t>ZSM675</t>
  </si>
  <si>
    <t>ZSM715</t>
  </si>
  <si>
    <t>ZSM820</t>
  </si>
  <si>
    <t>ZSM900</t>
  </si>
  <si>
    <t>ZSM950</t>
  </si>
  <si>
    <t>ZSM1000</t>
  </si>
  <si>
    <t>ZSM1050</t>
  </si>
  <si>
    <t>ZSM1080</t>
  </si>
  <si>
    <t>ZSM1100</t>
  </si>
  <si>
    <t>ZSM1150</t>
  </si>
  <si>
    <t>ZSM1200</t>
  </si>
  <si>
    <t>ZSM1250</t>
  </si>
  <si>
    <t>ZSM850</t>
  </si>
  <si>
    <t>RT 1.6T</t>
  </si>
  <si>
    <t>RT 2.0T</t>
  </si>
  <si>
    <t>BATERIE LITOWO-JONOWE</t>
  </si>
  <si>
    <t>HELI 80V/150Ah dla serii H4/G2-S</t>
  </si>
  <si>
    <t>HELI 80V/202Ah dla serii H4/G2-S</t>
  </si>
  <si>
    <t>HELI 80V/250Ah dla serii H4/G2-S</t>
  </si>
  <si>
    <t>HELI 80V/280Ah dla serii H4/G2-S</t>
  </si>
  <si>
    <t>HELI 80V/404Ah dla serii H4/G2-S</t>
  </si>
  <si>
    <t>HELI 80V/560Ah dla serii H4/G2-S</t>
  </si>
  <si>
    <t>CATL 80V/150AH dla serii H4/G2-S</t>
  </si>
  <si>
    <t>CATL 80V/173AH dla serii H4/G2-S</t>
  </si>
  <si>
    <t>CATL 80V/228AH dla serii H4/G2-S</t>
  </si>
  <si>
    <t>CATL 80V/302AH dla serii H4/G2-S</t>
  </si>
  <si>
    <t>CATL 80V/346AH dla serii H4/G2-S</t>
  </si>
  <si>
    <t>CATL 80V/456AH dla serii H4/G2-S</t>
  </si>
  <si>
    <t>CATL 80V/604AH dla serii H4/G2-S</t>
  </si>
  <si>
    <t>HELI 80V/202Ah dla serii G2-M/G3</t>
  </si>
  <si>
    <t>HELI 80V/280Ah dla serii G2-M/G3</t>
  </si>
  <si>
    <t>HELI 80V/404Ah dla serii G2-M/G3</t>
  </si>
  <si>
    <t>HELI 80V/560Ah dla serii G2-M/G3</t>
  </si>
  <si>
    <t>HELI 80V/606Ah dla serii G2-M/G3</t>
  </si>
  <si>
    <t>CATL 80V/228AH dla serii G2-M/G3</t>
  </si>
  <si>
    <t>CATL 80V/302AH dla serii G2-M/G3</t>
  </si>
  <si>
    <t>CATL 80V/346AH dla serii G2-M/G3</t>
  </si>
  <si>
    <t>CATL 80V/456AH dla serii G2-M/G3</t>
  </si>
  <si>
    <t>CATL 80V/604AH dla serii G2-M/G3</t>
  </si>
  <si>
    <t>CATL 80V/684AH dla serii G3</t>
  </si>
  <si>
    <t>CATL 80V/750AH dla serii G3</t>
  </si>
  <si>
    <t>HELI 80V/808Ah dla serii G3</t>
  </si>
  <si>
    <t>HELI 80V/1120Ah dla serii G3</t>
  </si>
  <si>
    <t>HELI 80V/1212Ah dla serii G3</t>
  </si>
  <si>
    <t>CATL 80V/906AH dla serii G3</t>
  </si>
  <si>
    <t>Vader 153.6V/230Ah</t>
  </si>
  <si>
    <t>Vader 153.6V/280Ah</t>
  </si>
  <si>
    <t>Vader 153.6V/346Ah</t>
  </si>
  <si>
    <t>T</t>
  </si>
  <si>
    <t>RT 1.2-1.4T</t>
  </si>
  <si>
    <t>RT 1.6-2.0T</t>
  </si>
  <si>
    <t>ŁADOWARKI</t>
  </si>
  <si>
    <t>wbudowana 35A</t>
  </si>
  <si>
    <t>szybka 100A</t>
  </si>
  <si>
    <t>szybka 200A</t>
  </si>
  <si>
    <t>CPD35-A3LIH4-M</t>
  </si>
  <si>
    <t>CPD30-A3LIH4-M</t>
  </si>
  <si>
    <t>Sekcje:</t>
  </si>
  <si>
    <t>Seria:</t>
  </si>
  <si>
    <t>Osprzęt</t>
  </si>
  <si>
    <t>Współczynnik frachtu $/kg (IMO):</t>
  </si>
  <si>
    <t>Współczynnik frachtu $/kg (neutral):</t>
  </si>
  <si>
    <t>KONFIGURATOR CENOWY - WÓZKI WIDŁOWE HELI (spalinowe i elektryczne czołowe)</t>
  </si>
  <si>
    <t>PARAMETRY PODSTAWOWE WÓZKA</t>
  </si>
  <si>
    <t>Siedzisko:</t>
  </si>
  <si>
    <t>Widły:</t>
  </si>
  <si>
    <t>Bateria:</t>
  </si>
  <si>
    <t>Ładowarka:</t>
  </si>
  <si>
    <t>Brak</t>
  </si>
  <si>
    <t>Kabina ogrzewana z nawiewem i klimatyzacją</t>
  </si>
  <si>
    <t xml:space="preserve">PARAMETRY DODATKOWE </t>
  </si>
  <si>
    <t>Opcje dodatkowe:</t>
  </si>
  <si>
    <t>Osprzęt dodatkowy:</t>
  </si>
  <si>
    <t>OPS:</t>
  </si>
  <si>
    <t>Uruchamianie / kluczyk:</t>
  </si>
  <si>
    <t>Standardowe (amortyzowane)</t>
  </si>
  <si>
    <t>Ustawienia</t>
  </si>
  <si>
    <t>Masa wózka (kg):</t>
  </si>
  <si>
    <t>np. kolor wózka</t>
  </si>
  <si>
    <t>np. widły teleskopowe</t>
  </si>
  <si>
    <t>TAK</t>
  </si>
  <si>
    <t>CU1ZG3</t>
  </si>
  <si>
    <t>PRICE POLICY</t>
  </si>
  <si>
    <t>Rabat dealerski</t>
  </si>
  <si>
    <t>SQ+G3-M</t>
  </si>
  <si>
    <t>SQ+G3-S</t>
  </si>
  <si>
    <t>SQ+H4</t>
  </si>
  <si>
    <t>Wariant Price Policy</t>
  </si>
  <si>
    <t>STANDARD</t>
  </si>
  <si>
    <t>ZAKŁADANA MARŻA MINIMALNA</t>
  </si>
  <si>
    <t>(z minimalną wymaganą marżą)</t>
  </si>
  <si>
    <t>CENA DLA KLIENTA W USD:</t>
  </si>
  <si>
    <t>NARZUT DO CENY OD HANDLOWCA:</t>
  </si>
  <si>
    <r>
      <rPr>
        <b/>
        <sz val="9"/>
        <color theme="1"/>
        <rFont val="Calibri"/>
        <family val="2"/>
        <scheme val="minor"/>
      </rPr>
      <t xml:space="preserve">ZASADY KORZYSTANIA Z KALKULATORA:
</t>
    </r>
    <r>
      <rPr>
        <sz val="9"/>
        <color theme="1"/>
        <rFont val="Calibri"/>
        <family val="2"/>
        <scheme val="minor"/>
      </rPr>
      <t xml:space="preserve">
</t>
    </r>
    <r>
      <rPr>
        <b/>
        <sz val="9"/>
        <color theme="1"/>
        <rFont val="Calibri"/>
        <family val="2"/>
        <scheme val="minor"/>
      </rPr>
      <t>• Komórki pomarańczowe (wprowadzanie ręczne):</t>
    </r>
    <r>
      <rPr>
        <sz val="9"/>
        <color theme="1"/>
        <rFont val="Calibri"/>
        <family val="2"/>
        <scheme val="minor"/>
      </rPr>
      <t xml:space="preserve">
Wszystkie pola oznaczone kolorem pomarańczowym służą do wpisywania wartości liczbowych (kurs waluty, fracht, dodatkowy narzut handlowca oraz niestandardowe opcje).
</t>
    </r>
    <r>
      <rPr>
        <b/>
        <sz val="9"/>
        <color theme="1"/>
        <rFont val="Calibri"/>
        <family val="2"/>
        <scheme val="minor"/>
      </rPr>
      <t>• Wskaźniki frachtu (ważne):</t>
    </r>
    <r>
      <rPr>
        <sz val="9"/>
        <color theme="1"/>
        <rFont val="Calibri"/>
        <family val="2"/>
        <scheme val="minor"/>
      </rPr>
      <t xml:space="preserve">
Wskaźniki frachtu $/kg (IMO oraz neutral) przekazuje Dyrektor Handlowy w razie ich aktualizacji. Nie należy modyfikować tych wartości samodzielnie bez wcześniejszej dyspozycji.
</t>
    </r>
    <r>
      <rPr>
        <b/>
        <sz val="9"/>
        <color theme="1"/>
        <rFont val="Calibri"/>
        <family val="2"/>
        <scheme val="minor"/>
      </rPr>
      <t>• Wymagane parametry w Ustawieniach:</t>
    </r>
    <r>
      <rPr>
        <sz val="9"/>
        <color theme="1"/>
        <rFont val="Calibri"/>
        <family val="2"/>
        <scheme val="minor"/>
      </rPr>
      <t xml:space="preserve">
Aby kalkulator wyliczył cenę końcową, sekcja „Ustawienia” (komórki C5:C8) musi być kompletnie uzupełniona. W przypadku braku chociażby jednej wartości cena sprzedaży nie zostanie skalkulowana, a arkusz wyświetli monit o uzupełnieniu danych.
</t>
    </r>
    <r>
      <rPr>
        <b/>
        <sz val="9"/>
        <color theme="1"/>
        <rFont val="Calibri"/>
        <family val="2"/>
        <scheme val="minor"/>
      </rPr>
      <t>• Dynamiczne listy rozwijane:</t>
    </r>
    <r>
      <rPr>
        <sz val="9"/>
        <color theme="1"/>
        <rFont val="Calibri"/>
        <family val="2"/>
        <scheme val="minor"/>
      </rPr>
      <t xml:space="preserve">
Pola w sekcji „PARAMETRY PODSTAWOWE WÓZKA” zawierają listy wyboru. Kliknij wybraną komórkę, aby po prawej stronie pojawił się znacznik strzałki.
Listy działają kaskadowo/dynamicznie — wybór typu napędu determinuje dostępne modele wózków, a wybrany model automatycznie filtruje pasujące maszty, opony, kabiny, osprzęt, baterie oraz opcje OPS i uruchamiania.
</t>
    </r>
    <r>
      <rPr>
        <b/>
        <sz val="9"/>
        <color theme="1"/>
        <rFont val="Calibri"/>
        <family val="2"/>
        <scheme val="minor"/>
      </rPr>
      <t xml:space="preserve">• Parametry dodatkowe i narzut handlowca:
</t>
    </r>
    <r>
      <rPr>
        <sz val="9"/>
        <color theme="1"/>
        <rFont val="Calibri"/>
        <family val="2"/>
        <scheme val="minor"/>
      </rPr>
      <t xml:space="preserve">Jeśli wózek wymaga niestandardowego doposażenia, wpisz jego opis oraz koszt w sekcji „PARAMETRY DODATKOWE”. W polu „NARZUT DO CENY OD HANDLOWCA” możesz dodać własną marżę kwotową w PLN.
</t>
    </r>
    <r>
      <rPr>
        <b/>
        <sz val="9"/>
        <color theme="1"/>
        <rFont val="Calibri"/>
        <family val="2"/>
        <scheme val="minor"/>
      </rPr>
      <t>• Kopiowanie konfiguracji (przycisk):</t>
    </r>
    <r>
      <rPr>
        <sz val="9"/>
        <color theme="1"/>
        <rFont val="Calibri"/>
        <family val="2"/>
        <scheme val="minor"/>
      </rPr>
      <t xml:space="preserve">
Po zakończeniu konfiguracji kliknij fioletowy przycisk „SKOPIUJ KONFIGURACJĘ WÓZKA”. Pełna specyfikacja techniczna wraz z ceną netto, stawką VAT 23% i kwotą brutto zostanie zapisana w schowku — wystarczy wkleić ją skrótem Ctrl + V do wiadomości e-mail w celu wystawienia faktury proforma.
</t>
    </r>
    <r>
      <rPr>
        <b/>
        <sz val="9"/>
        <color theme="1"/>
        <rFont val="Calibri"/>
        <family val="2"/>
        <scheme val="minor"/>
      </rPr>
      <t>• Blokada arkuszy i przycisk „ODBLOKUJ ARKUSZ”:</t>
    </r>
    <r>
      <rPr>
        <sz val="9"/>
        <color theme="1"/>
        <rFont val="Calibri"/>
        <family val="2"/>
        <scheme val="minor"/>
      </rPr>
      <t xml:space="preserve">
Fioletowy przycisk „ODBLOKUJ ARKUSZ DO EDYCJI” oraz dostęp do arkusza KAROL są zabezpieczone i przeznaczone wyłącznie do użytku moderatora/administratora. Arkusz KAROL zawiera tabele logiki biznesowej i nie podlega edycji przez handlowców.</t>
    </r>
  </si>
  <si>
    <t>OŚWIETLENIE</t>
  </si>
  <si>
    <t>LED LIGHTS</t>
  </si>
  <si>
    <t>LED LIGHTS + BLUE SPOT TYŁ</t>
  </si>
  <si>
    <t>LED LIGHTS + BLUE SPOT PRZÓD/TYŁ</t>
  </si>
  <si>
    <t>LED LIGHTS + BLUE SPOT PRZÓD/TYŁ + RED ZONE</t>
  </si>
  <si>
    <t>Oświetlenie: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</si>
</sst>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&quot;$&quot;"/>
    <numFmt numFmtId="165" formatCode="#,##0.00\ &quot;zł&quot;"/>
    <numFmt numFmtId="166" formatCode="[$$-409]#,##0.00"/>
    <numFmt numFmtId="167" formatCode="_-[$$-409]* #,##0.00_ ;_-[$$-409]* \-#,##0.00\ ;_-[$$-409]* &quot;-&quot;??_ ;_-@_ "/>
    <numFmt numFmtId="168" formatCode="\$#,##0.00;\-\$#,##0.00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2"/>
      <color rgb="FFFFFFFF"/>
      <name val="Calibri"/>
      <family val="2"/>
      <charset val="238"/>
    </font>
    <font>
      <b/>
      <sz val="18"/>
      <color rgb="FF1F4E78"/>
      <name val="Calibri"/>
      <family val="2"/>
      <charset val="238"/>
    </font>
    <font>
      <b/>
      <sz val="14"/>
      <color rgb="FF333333"/>
      <name val="Calibri"/>
      <family val="2"/>
      <charset val="238"/>
    </font>
    <font>
      <b/>
      <sz val="11"/>
      <color rgb="FF555555"/>
      <name val="Calibri"/>
      <family val="2"/>
      <charset val="238"/>
    </font>
    <font>
      <b/>
      <sz val="12"/>
      <name val="Calibri"/>
      <family val="2"/>
      <charset val="238"/>
    </font>
    <font>
      <b/>
      <sz val="12"/>
      <color rgb="FFC00000"/>
      <name val="Calibri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name val="Calibri"/>
      <family val="2"/>
      <charset val="238"/>
      <scheme val="minor"/>
    </font>
    <font>
      <sz val="12"/>
      <name val="宋体"/>
      <charset val="134"/>
    </font>
    <font>
      <b/>
      <sz val="12"/>
      <color theme="0"/>
      <name val="Calibri"/>
      <family val="2"/>
      <charset val="238"/>
      <scheme val="minor"/>
    </font>
    <font>
      <sz val="12"/>
      <color rgb="FF000000"/>
      <name val="Calibri"/>
      <family val="2"/>
      <charset val="238"/>
    </font>
    <font>
      <sz val="12"/>
      <color theme="1"/>
      <name val="Calibri"/>
      <family val="2"/>
      <charset val="238"/>
    </font>
    <font>
      <b/>
      <sz val="8"/>
      <color theme="0"/>
      <name val="Calibri"/>
      <family val="2"/>
      <charset val="238"/>
      <scheme val="minor"/>
    </font>
    <font>
      <sz val="12"/>
      <color theme="1"/>
      <name val="Times New Roman"/>
      <family val="1"/>
      <charset val="238"/>
    </font>
    <font>
      <sz val="12"/>
      <name val="Times New Roman"/>
      <family val="1"/>
      <charset val="238"/>
    </font>
    <font>
      <b/>
      <sz val="12"/>
      <color theme="0"/>
      <name val="Calibri"/>
      <family val="2"/>
      <scheme val="minor"/>
    </font>
    <font>
      <b/>
      <sz val="12"/>
      <color rgb="FFFFFFFF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sz val="12"/>
      <name val="Calibri"/>
      <family val="2"/>
      <scheme val="minor"/>
    </font>
    <font>
      <b/>
      <sz val="14"/>
      <name val="Calibri"/>
      <family val="2"/>
    </font>
    <font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name val="Calibri"/>
      <family val="2"/>
    </font>
    <font>
      <b/>
      <sz val="14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2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Times New Roman"/>
      <family val="1"/>
      <charset val="238"/>
    </font>
    <font>
      <sz val="11"/>
      <color theme="1"/>
      <name val="Calibri"/>
      <family val="2"/>
      <scheme val="minor"/>
    </font>
    <font>
      <sz val="11"/>
      <name val="Calibri"/>
      <family val="2"/>
      <charset val="238"/>
    </font>
    <font>
      <b/>
      <sz val="20"/>
      <color theme="0"/>
      <name val="Calibri"/>
      <family val="2"/>
    </font>
    <font>
      <sz val="11"/>
      <color theme="0" tint="-0.249977111117893"/>
      <name val="Calibri"/>
      <family val="2"/>
      <scheme val="minor"/>
    </font>
    <font>
      <i/>
      <sz val="11"/>
      <color theme="0" tint="-0.249977111117893"/>
      <name val="Calibri"/>
      <family val="2"/>
    </font>
    <font>
      <b/>
      <sz val="12"/>
      <color theme="0" tint="-0.249977111117893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rgb="FFDDEBF7"/>
      </patternFill>
    </fill>
    <fill>
      <patternFill patternType="solid">
        <fgColor theme="3" tint="0.59999389629810485"/>
        <bgColor rgb="FFF2F2F2"/>
      </patternFill>
    </fill>
    <fill>
      <patternFill patternType="solid">
        <fgColor theme="0" tint="-4.9989318521683403E-2"/>
        <bgColor rgb="FFF2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rgb="FFFFFFE0"/>
      </patternFill>
    </fill>
    <fill>
      <patternFill patternType="solid">
        <fgColor theme="9" tint="0.59999389629810485"/>
        <bgColor rgb="FFF2F2F2"/>
      </patternFill>
    </fill>
    <fill>
      <patternFill patternType="solid">
        <fgColor theme="7" tint="0.59999389629810485"/>
        <bgColor rgb="FFE2EFDA"/>
      </patternFill>
    </fill>
    <fill>
      <patternFill patternType="solid">
        <fgColor rgb="FF00B050"/>
        <bgColor rgb="FF2CA02C"/>
      </patternFill>
    </fill>
    <fill>
      <patternFill patternType="solid">
        <fgColor theme="7" tint="0.59999389629810485"/>
        <bgColor rgb="FF2CA02C"/>
      </patternFill>
    </fill>
    <fill>
      <patternFill patternType="solid">
        <fgColor theme="7" tint="0.39997558519241921"/>
        <bgColor rgb="FFF2F2F2"/>
      </patternFill>
    </fill>
    <fill>
      <patternFill patternType="solid">
        <fgColor theme="0"/>
        <bgColor rgb="FFFFFFFF"/>
      </patternFill>
    </fill>
    <fill>
      <patternFill patternType="solid">
        <fgColor rgb="FF00FA7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2CA02C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1"/>
      </bottom>
      <diagonal/>
    </border>
    <border>
      <left style="thin">
        <color indexed="64"/>
      </left>
      <right/>
      <top style="thin">
        <color auto="1"/>
      </top>
      <bottom style="thin">
        <color theme="1"/>
      </bottom>
      <diagonal/>
    </border>
    <border>
      <left/>
      <right style="thin">
        <color indexed="64"/>
      </right>
      <top style="thin">
        <color auto="1"/>
      </top>
      <bottom style="thin">
        <color theme="1"/>
      </bottom>
      <diagonal/>
    </border>
    <border>
      <left style="thin">
        <color theme="1"/>
      </left>
      <right style="thin">
        <color auto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thin">
        <color auto="1"/>
      </right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4">
    <xf numFmtId="0" fontId="0" fillId="0" borderId="0"/>
    <xf numFmtId="0" fontId="3" fillId="0" borderId="0">
      <alignment vertical="center"/>
    </xf>
    <xf numFmtId="0" fontId="13" fillId="0" borderId="0"/>
    <xf numFmtId="9" fontId="35" fillId="0" borderId="0" applyFont="0" applyFill="0" applyBorder="0" applyAlignment="0" applyProtection="0"/>
  </cellStyleXfs>
  <cellXfs count="160">
    <xf numFmtId="0" fontId="0" fillId="0" borderId="0" xfId="0"/>
    <xf numFmtId="0" fontId="12" fillId="4" borderId="1" xfId="0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0" fontId="12" fillId="0" borderId="0" xfId="0" applyFont="1"/>
    <xf numFmtId="0" fontId="4" fillId="2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12" fillId="4" borderId="1" xfId="0" applyFont="1" applyFill="1" applyBorder="1" applyAlignment="1">
      <alignment horizontal="left" vertical="center" wrapText="1"/>
    </xf>
    <xf numFmtId="0" fontId="12" fillId="4" borderId="1" xfId="0" applyFont="1" applyFill="1" applyBorder="1" applyAlignment="1">
      <alignment horizontal="left"/>
    </xf>
    <xf numFmtId="0" fontId="12" fillId="4" borderId="1" xfId="2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left"/>
    </xf>
    <xf numFmtId="0" fontId="3" fillId="4" borderId="1" xfId="1" applyFill="1" applyBorder="1" applyAlignment="1">
      <alignment horizontal="left" vertical="center"/>
    </xf>
    <xf numFmtId="0" fontId="12" fillId="4" borderId="1" xfId="1" applyFont="1" applyFill="1" applyBorder="1" applyAlignment="1">
      <alignment horizontal="left" vertical="center"/>
    </xf>
    <xf numFmtId="0" fontId="0" fillId="0" borderId="0" xfId="0" applyAlignment="1">
      <alignment horizontal="right"/>
    </xf>
    <xf numFmtId="0" fontId="14" fillId="5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15" fillId="0" borderId="1" xfId="0" applyFont="1" applyBorder="1" applyAlignment="1">
      <alignment vertical="center"/>
    </xf>
    <xf numFmtId="0" fontId="16" fillId="6" borderId="1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0" borderId="3" xfId="0" applyBorder="1"/>
    <xf numFmtId="0" fontId="0" fillId="0" borderId="1" xfId="0" applyBorder="1"/>
    <xf numFmtId="0" fontId="0" fillId="6" borderId="1" xfId="0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0" fillId="6" borderId="1" xfId="0" applyFill="1" applyBorder="1"/>
    <xf numFmtId="0" fontId="19" fillId="6" borderId="1" xfId="0" applyFont="1" applyFill="1" applyBorder="1" applyAlignment="1">
      <alignment horizontal="center" vertical="center"/>
    </xf>
    <xf numFmtId="0" fontId="20" fillId="5" borderId="2" xfId="0" applyFont="1" applyFill="1" applyBorder="1" applyAlignment="1">
      <alignment horizontal="center" vertical="center"/>
    </xf>
    <xf numFmtId="0" fontId="21" fillId="2" borderId="4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/>
    </xf>
    <xf numFmtId="0" fontId="23" fillId="6" borderId="1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22" fillId="0" borderId="0" xfId="0" applyFont="1"/>
    <xf numFmtId="0" fontId="24" fillId="6" borderId="0" xfId="0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8" borderId="0" xfId="0" applyFill="1"/>
    <xf numFmtId="0" fontId="0" fillId="0" borderId="13" xfId="0" applyBorder="1"/>
    <xf numFmtId="0" fontId="0" fillId="12" borderId="0" xfId="0" applyFill="1" applyProtection="1">
      <protection hidden="1"/>
    </xf>
    <xf numFmtId="0" fontId="0" fillId="12" borderId="0" xfId="0" applyFill="1" applyAlignment="1" applyProtection="1">
      <alignment horizontal="center"/>
      <protection hidden="1"/>
    </xf>
    <xf numFmtId="0" fontId="26" fillId="3" borderId="6" xfId="0" applyFont="1" applyFill="1" applyBorder="1" applyAlignment="1" applyProtection="1">
      <alignment horizontal="center" vertical="center"/>
      <protection hidden="1"/>
    </xf>
    <xf numFmtId="0" fontId="26" fillId="3" borderId="6" xfId="0" applyFont="1" applyFill="1" applyBorder="1" applyAlignment="1" applyProtection="1">
      <alignment horizontal="center"/>
      <protection hidden="1"/>
    </xf>
    <xf numFmtId="164" fontId="28" fillId="15" borderId="6" xfId="0" applyNumberFormat="1" applyFont="1" applyFill="1" applyBorder="1" applyAlignment="1" applyProtection="1">
      <alignment horizontal="center" vertical="center"/>
      <protection hidden="1"/>
    </xf>
    <xf numFmtId="0" fontId="24" fillId="3" borderId="5" xfId="0" applyFont="1" applyFill="1" applyBorder="1" applyAlignment="1" applyProtection="1">
      <alignment horizontal="center" vertical="center"/>
      <protection locked="0"/>
    </xf>
    <xf numFmtId="0" fontId="24" fillId="7" borderId="0" xfId="0" applyFont="1" applyFill="1" applyAlignment="1" applyProtection="1">
      <alignment horizontal="center" vertical="center"/>
      <protection locked="0"/>
    </xf>
    <xf numFmtId="0" fontId="28" fillId="11" borderId="5" xfId="0" applyFont="1" applyFill="1" applyBorder="1" applyAlignment="1" applyProtection="1">
      <alignment horizontal="right" vertical="center"/>
      <protection hidden="1"/>
    </xf>
    <xf numFmtId="0" fontId="31" fillId="11" borderId="1" xfId="0" applyFont="1" applyFill="1" applyBorder="1" applyAlignment="1" applyProtection="1">
      <alignment horizontal="right" vertical="center"/>
      <protection hidden="1"/>
    </xf>
    <xf numFmtId="0" fontId="28" fillId="15" borderId="6" xfId="0" applyFont="1" applyFill="1" applyBorder="1" applyAlignment="1" applyProtection="1">
      <alignment horizontal="center" vertical="center"/>
      <protection hidden="1"/>
    </xf>
    <xf numFmtId="0" fontId="28" fillId="11" borderId="1" xfId="0" applyFont="1" applyFill="1" applyBorder="1" applyProtection="1">
      <protection hidden="1"/>
    </xf>
    <xf numFmtId="0" fontId="31" fillId="11" borderId="1" xfId="0" applyFont="1" applyFill="1" applyBorder="1" applyProtection="1">
      <protection hidden="1"/>
    </xf>
    <xf numFmtId="0" fontId="17" fillId="5" borderId="14" xfId="0" applyFont="1" applyFill="1" applyBorder="1" applyAlignment="1">
      <alignment horizontal="center" vertical="center"/>
    </xf>
    <xf numFmtId="0" fontId="10" fillId="5" borderId="14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168" fontId="34" fillId="8" borderId="14" xfId="0" applyNumberFormat="1" applyFont="1" applyFill="1" applyBorder="1" applyAlignment="1">
      <alignment horizontal="center"/>
    </xf>
    <xf numFmtId="168" fontId="0" fillId="8" borderId="14" xfId="0" applyNumberFormat="1" applyFill="1" applyBorder="1" applyAlignment="1">
      <alignment horizontal="center"/>
    </xf>
    <xf numFmtId="9" fontId="0" fillId="8" borderId="0" xfId="0" applyNumberFormat="1" applyFill="1"/>
    <xf numFmtId="9" fontId="0" fillId="8" borderId="14" xfId="0" applyNumberFormat="1" applyFill="1" applyBorder="1"/>
    <xf numFmtId="0" fontId="4" fillId="2" borderId="15" xfId="0" applyFont="1" applyFill="1" applyBorder="1" applyAlignment="1">
      <alignment horizontal="center" vertical="center"/>
    </xf>
    <xf numFmtId="167" fontId="0" fillId="8" borderId="14" xfId="0" applyNumberFormat="1" applyFill="1" applyBorder="1"/>
    <xf numFmtId="0" fontId="3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left"/>
    </xf>
    <xf numFmtId="0" fontId="4" fillId="2" borderId="3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right" vertical="center"/>
    </xf>
    <xf numFmtId="0" fontId="1" fillId="0" borderId="3" xfId="0" applyFont="1" applyBorder="1" applyAlignment="1">
      <alignment horizontal="left"/>
    </xf>
    <xf numFmtId="0" fontId="12" fillId="4" borderId="3" xfId="0" applyFont="1" applyFill="1" applyBorder="1" applyAlignment="1">
      <alignment horizontal="right"/>
    </xf>
    <xf numFmtId="0" fontId="12" fillId="4" borderId="3" xfId="0" applyFont="1" applyFill="1" applyBorder="1" applyAlignment="1">
      <alignment horizontal="right" vertical="center" wrapText="1"/>
    </xf>
    <xf numFmtId="0" fontId="3" fillId="4" borderId="3" xfId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/>
    </xf>
    <xf numFmtId="168" fontId="34" fillId="8" borderId="0" xfId="0" applyNumberFormat="1" applyFont="1" applyFill="1" applyAlignment="1">
      <alignment horizontal="center"/>
    </xf>
    <xf numFmtId="168" fontId="0" fillId="8" borderId="0" xfId="0" applyNumberFormat="1" applyFill="1" applyAlignment="1">
      <alignment horizontal="center"/>
    </xf>
    <xf numFmtId="0" fontId="17" fillId="5" borderId="16" xfId="0" applyFont="1" applyFill="1" applyBorder="1" applyAlignment="1">
      <alignment horizontal="center" vertical="center"/>
    </xf>
    <xf numFmtId="168" fontId="0" fillId="8" borderId="0" xfId="0" applyNumberFormat="1" applyFill="1"/>
    <xf numFmtId="0" fontId="10" fillId="2" borderId="0" xfId="0" applyFont="1" applyFill="1" applyAlignment="1">
      <alignment vertical="center" wrapText="1"/>
    </xf>
    <xf numFmtId="0" fontId="31" fillId="11" borderId="5" xfId="0" applyFont="1" applyFill="1" applyBorder="1" applyAlignment="1" applyProtection="1">
      <alignment horizontal="right" vertical="center"/>
      <protection hidden="1"/>
    </xf>
    <xf numFmtId="0" fontId="24" fillId="3" borderId="7" xfId="0" applyFont="1" applyFill="1" applyBorder="1" applyAlignment="1" applyProtection="1">
      <alignment horizontal="center" vertical="center"/>
      <protection locked="0"/>
    </xf>
    <xf numFmtId="0" fontId="26" fillId="3" borderId="8" xfId="0" applyFont="1" applyFill="1" applyBorder="1" applyAlignment="1" applyProtection="1">
      <alignment horizontal="center"/>
      <protection hidden="1"/>
    </xf>
    <xf numFmtId="0" fontId="31" fillId="11" borderId="27" xfId="0" applyFont="1" applyFill="1" applyBorder="1" applyProtection="1">
      <protection hidden="1"/>
    </xf>
    <xf numFmtId="0" fontId="31" fillId="11" borderId="26" xfId="0" applyFont="1" applyFill="1" applyBorder="1" applyAlignment="1" applyProtection="1">
      <alignment horizontal="right" vertical="center"/>
      <protection hidden="1"/>
    </xf>
    <xf numFmtId="0" fontId="32" fillId="7" borderId="26" xfId="0" applyFont="1" applyFill="1" applyBorder="1" applyAlignment="1" applyProtection="1">
      <alignment horizontal="center" vertical="center"/>
      <protection locked="0"/>
    </xf>
    <xf numFmtId="164" fontId="33" fillId="14" borderId="26" xfId="0" applyNumberFormat="1" applyFont="1" applyFill="1" applyBorder="1" applyProtection="1">
      <protection locked="0"/>
    </xf>
    <xf numFmtId="0" fontId="31" fillId="11" borderId="30" xfId="0" applyFont="1" applyFill="1" applyBorder="1" applyAlignment="1" applyProtection="1">
      <alignment horizontal="right" vertical="center"/>
      <protection hidden="1"/>
    </xf>
    <xf numFmtId="0" fontId="32" fillId="7" borderId="31" xfId="0" applyFont="1" applyFill="1" applyBorder="1" applyAlignment="1" applyProtection="1">
      <alignment horizontal="center" vertical="center"/>
      <protection locked="0"/>
    </xf>
    <xf numFmtId="164" fontId="33" fillId="14" borderId="32" xfId="0" applyNumberFormat="1" applyFont="1" applyFill="1" applyBorder="1" applyProtection="1">
      <protection locked="0"/>
    </xf>
    <xf numFmtId="0" fontId="29" fillId="10" borderId="33" xfId="0" applyFont="1" applyFill="1" applyBorder="1" applyProtection="1">
      <protection hidden="1"/>
    </xf>
    <xf numFmtId="0" fontId="0" fillId="10" borderId="34" xfId="0" applyFill="1" applyBorder="1" applyProtection="1">
      <protection hidden="1"/>
    </xf>
    <xf numFmtId="0" fontId="0" fillId="10" borderId="35" xfId="0" applyFill="1" applyBorder="1" applyProtection="1">
      <protection hidden="1"/>
    </xf>
    <xf numFmtId="0" fontId="25" fillId="9" borderId="33" xfId="0" applyFont="1" applyFill="1" applyBorder="1" applyProtection="1">
      <protection hidden="1"/>
    </xf>
    <xf numFmtId="0" fontId="26" fillId="10" borderId="34" xfId="0" applyFont="1" applyFill="1" applyBorder="1" applyProtection="1">
      <protection hidden="1"/>
    </xf>
    <xf numFmtId="0" fontId="26" fillId="10" borderId="35" xfId="0" applyFont="1" applyFill="1" applyBorder="1" applyAlignment="1" applyProtection="1">
      <alignment horizontal="center"/>
      <protection hidden="1"/>
    </xf>
    <xf numFmtId="0" fontId="6" fillId="9" borderId="24" xfId="0" applyFont="1" applyFill="1" applyBorder="1" applyProtection="1">
      <protection hidden="1"/>
    </xf>
    <xf numFmtId="0" fontId="0" fillId="10" borderId="36" xfId="0" applyFill="1" applyBorder="1" applyProtection="1">
      <protection hidden="1"/>
    </xf>
    <xf numFmtId="0" fontId="0" fillId="10" borderId="25" xfId="0" applyFill="1" applyBorder="1" applyProtection="1">
      <protection hidden="1"/>
    </xf>
    <xf numFmtId="166" fontId="0" fillId="8" borderId="0" xfId="0" applyNumberFormat="1" applyFill="1"/>
    <xf numFmtId="165" fontId="30" fillId="14" borderId="3" xfId="0" applyNumberFormat="1" applyFont="1" applyFill="1" applyBorder="1" applyAlignment="1" applyProtection="1">
      <alignment horizontal="center" vertical="center"/>
      <protection locked="0"/>
    </xf>
    <xf numFmtId="164" fontId="30" fillId="20" borderId="3" xfId="0" applyNumberFormat="1" applyFont="1" applyFill="1" applyBorder="1" applyAlignment="1" applyProtection="1">
      <alignment horizontal="center" vertical="center"/>
      <protection hidden="1"/>
    </xf>
    <xf numFmtId="0" fontId="0" fillId="22" borderId="0" xfId="0" applyFill="1" applyProtection="1">
      <protection hidden="1"/>
    </xf>
    <xf numFmtId="0" fontId="0" fillId="23" borderId="0" xfId="0" applyFill="1" applyProtection="1">
      <protection hidden="1"/>
    </xf>
    <xf numFmtId="0" fontId="0" fillId="23" borderId="0" xfId="0" applyFill="1" applyAlignment="1" applyProtection="1">
      <alignment horizontal="center"/>
      <protection hidden="1"/>
    </xf>
    <xf numFmtId="0" fontId="0" fillId="22" borderId="0" xfId="0" applyFill="1" applyAlignment="1" applyProtection="1">
      <alignment horizontal="center"/>
      <protection hidden="1"/>
    </xf>
    <xf numFmtId="0" fontId="27" fillId="22" borderId="0" xfId="0" applyFont="1" applyFill="1" applyProtection="1">
      <protection hidden="1"/>
    </xf>
    <xf numFmtId="0" fontId="27" fillId="22" borderId="0" xfId="0" applyFont="1" applyFill="1" applyAlignment="1" applyProtection="1">
      <alignment horizontal="center"/>
      <protection hidden="1"/>
    </xf>
    <xf numFmtId="0" fontId="27" fillId="23" borderId="0" xfId="0" applyFont="1" applyFill="1" applyProtection="1">
      <protection hidden="1"/>
    </xf>
    <xf numFmtId="0" fontId="26" fillId="22" borderId="0" xfId="0" applyFont="1" applyFill="1" applyProtection="1">
      <protection hidden="1"/>
    </xf>
    <xf numFmtId="0" fontId="7" fillId="22" borderId="0" xfId="0" applyFont="1" applyFill="1" applyAlignment="1" applyProtection="1">
      <alignment horizontal="right" vertical="center"/>
      <protection hidden="1"/>
    </xf>
    <xf numFmtId="164" fontId="8" fillId="22" borderId="0" xfId="0" applyNumberFormat="1" applyFont="1" applyFill="1" applyAlignment="1" applyProtection="1">
      <alignment horizontal="right" vertical="center"/>
      <protection hidden="1"/>
    </xf>
    <xf numFmtId="164" fontId="9" fillId="22" borderId="0" xfId="0" applyNumberFormat="1" applyFont="1" applyFill="1" applyAlignment="1" applyProtection="1">
      <alignment horizontal="right" vertical="center"/>
      <protection hidden="1"/>
    </xf>
    <xf numFmtId="0" fontId="25" fillId="24" borderId="0" xfId="0" applyFont="1" applyFill="1" applyAlignment="1" applyProtection="1">
      <alignment horizontal="center" vertical="center"/>
      <protection hidden="1"/>
    </xf>
    <xf numFmtId="0" fontId="26" fillId="22" borderId="0" xfId="0" applyFont="1" applyFill="1" applyAlignment="1" applyProtection="1">
      <alignment horizontal="center"/>
      <protection hidden="1"/>
    </xf>
    <xf numFmtId="0" fontId="38" fillId="22" borderId="0" xfId="0" applyFont="1" applyFill="1" applyAlignment="1" applyProtection="1">
      <alignment horizontal="right"/>
      <protection hidden="1"/>
    </xf>
    <xf numFmtId="0" fontId="39" fillId="22" borderId="0" xfId="0" applyFont="1" applyFill="1" applyProtection="1">
      <protection hidden="1"/>
    </xf>
    <xf numFmtId="0" fontId="38" fillId="23" borderId="0" xfId="0" applyFont="1" applyFill="1" applyProtection="1">
      <protection hidden="1"/>
    </xf>
    <xf numFmtId="164" fontId="39" fillId="23" borderId="0" xfId="0" applyNumberFormat="1" applyFont="1" applyFill="1" applyAlignment="1" applyProtection="1">
      <alignment horizontal="left"/>
      <protection hidden="1"/>
    </xf>
    <xf numFmtId="0" fontId="38" fillId="22" borderId="0" xfId="0" applyFont="1" applyFill="1" applyProtection="1">
      <protection hidden="1"/>
    </xf>
    <xf numFmtId="0" fontId="40" fillId="22" borderId="0" xfId="0" applyFont="1" applyFill="1" applyAlignment="1" applyProtection="1">
      <alignment horizontal="right" vertical="center"/>
      <protection hidden="1"/>
    </xf>
    <xf numFmtId="0" fontId="41" fillId="22" borderId="0" xfId="0" applyFont="1" applyFill="1" applyAlignment="1">
      <alignment horizontal="center" vertical="center"/>
    </xf>
    <xf numFmtId="164" fontId="40" fillId="22" borderId="0" xfId="0" applyNumberFormat="1" applyFont="1" applyFill="1" applyAlignment="1" applyProtection="1">
      <alignment horizontal="center"/>
      <protection hidden="1"/>
    </xf>
    <xf numFmtId="0" fontId="41" fillId="22" borderId="0" xfId="0" applyFont="1" applyFill="1" applyAlignment="1" applyProtection="1">
      <alignment horizontal="center" vertical="center"/>
      <protection hidden="1"/>
    </xf>
    <xf numFmtId="164" fontId="40" fillId="22" borderId="0" xfId="0" applyNumberFormat="1" applyFont="1" applyFill="1" applyAlignment="1" applyProtection="1">
      <alignment horizontal="center" vertical="center"/>
      <protection hidden="1"/>
    </xf>
    <xf numFmtId="0" fontId="38" fillId="23" borderId="0" xfId="0" applyFont="1" applyFill="1" applyAlignment="1" applyProtection="1">
      <alignment horizontal="center" vertical="center"/>
      <protection hidden="1"/>
    </xf>
    <xf numFmtId="9" fontId="38" fillId="23" borderId="0" xfId="3" applyFont="1" applyFill="1" applyAlignment="1" applyProtection="1">
      <alignment horizontal="center" vertical="center"/>
      <protection hidden="1"/>
    </xf>
    <xf numFmtId="0" fontId="38" fillId="23" borderId="0" xfId="0" applyFont="1" applyFill="1" applyAlignment="1" applyProtection="1">
      <alignment horizontal="center" vertical="center" wrapText="1"/>
      <protection hidden="1"/>
    </xf>
    <xf numFmtId="4" fontId="38" fillId="23" borderId="0" xfId="0" applyNumberFormat="1" applyFont="1" applyFill="1" applyAlignment="1" applyProtection="1">
      <alignment horizontal="center" vertical="center"/>
      <protection hidden="1"/>
    </xf>
    <xf numFmtId="0" fontId="40" fillId="22" borderId="0" xfId="0" applyFont="1" applyFill="1" applyProtection="1">
      <protection hidden="1"/>
    </xf>
    <xf numFmtId="0" fontId="0" fillId="23" borderId="0" xfId="0" applyFill="1" applyAlignment="1" applyProtection="1">
      <alignment vertical="top"/>
      <protection hidden="1"/>
    </xf>
    <xf numFmtId="0" fontId="42" fillId="23" borderId="0" xfId="0" applyFont="1" applyFill="1" applyAlignment="1" applyProtection="1">
      <alignment vertical="top" wrapText="1"/>
      <protection hidden="1"/>
    </xf>
    <xf numFmtId="0" fontId="22" fillId="7" borderId="22" xfId="0" applyFont="1" applyFill="1" applyBorder="1" applyAlignment="1" applyProtection="1">
      <alignment horizontal="center" vertical="center"/>
      <protection hidden="1"/>
    </xf>
    <xf numFmtId="0" fontId="22" fillId="7" borderId="23" xfId="0" applyFont="1" applyFill="1" applyBorder="1" applyAlignment="1" applyProtection="1">
      <alignment horizontal="center" vertical="center"/>
      <protection hidden="1"/>
    </xf>
    <xf numFmtId="10" fontId="26" fillId="19" borderId="6" xfId="0" applyNumberFormat="1" applyFont="1" applyFill="1" applyBorder="1" applyAlignment="1" applyProtection="1">
      <alignment horizontal="center"/>
      <protection hidden="1"/>
    </xf>
    <xf numFmtId="0" fontId="24" fillId="7" borderId="5" xfId="0" applyFont="1" applyFill="1" applyBorder="1" applyAlignment="1" applyProtection="1">
      <alignment horizontal="center" vertical="center"/>
      <protection locked="0"/>
    </xf>
    <xf numFmtId="0" fontId="42" fillId="12" borderId="0" xfId="0" applyFont="1" applyFill="1" applyAlignment="1" applyProtection="1">
      <alignment horizontal="left" vertical="top" wrapText="1"/>
      <protection hidden="1"/>
    </xf>
    <xf numFmtId="0" fontId="30" fillId="21" borderId="24" xfId="0" applyFont="1" applyFill="1" applyBorder="1" applyAlignment="1" applyProtection="1">
      <alignment horizontal="right" vertical="center"/>
      <protection hidden="1"/>
    </xf>
    <xf numFmtId="0" fontId="30" fillId="21" borderId="25" xfId="0" applyFont="1" applyFill="1" applyBorder="1" applyAlignment="1" applyProtection="1">
      <alignment horizontal="right" vertical="center"/>
      <protection hidden="1"/>
    </xf>
    <xf numFmtId="0" fontId="30" fillId="18" borderId="24" xfId="0" applyFont="1" applyFill="1" applyBorder="1" applyAlignment="1" applyProtection="1">
      <alignment horizontal="right"/>
      <protection hidden="1"/>
    </xf>
    <xf numFmtId="0" fontId="30" fillId="18" borderId="25" xfId="0" applyFont="1" applyFill="1" applyBorder="1" applyAlignment="1" applyProtection="1">
      <alignment horizontal="right"/>
      <protection hidden="1"/>
    </xf>
    <xf numFmtId="0" fontId="25" fillId="9" borderId="5" xfId="0" applyFont="1" applyFill="1" applyBorder="1" applyAlignment="1" applyProtection="1">
      <alignment horizontal="left"/>
      <protection hidden="1"/>
    </xf>
    <xf numFmtId="0" fontId="25" fillId="9" borderId="12" xfId="0" applyFont="1" applyFill="1" applyBorder="1" applyAlignment="1" applyProtection="1">
      <alignment horizontal="left"/>
      <protection hidden="1"/>
    </xf>
    <xf numFmtId="0" fontId="25" fillId="9" borderId="6" xfId="0" applyFont="1" applyFill="1" applyBorder="1" applyAlignment="1" applyProtection="1">
      <alignment horizontal="left"/>
      <protection hidden="1"/>
    </xf>
    <xf numFmtId="0" fontId="5" fillId="22" borderId="0" xfId="0" applyFont="1" applyFill="1" applyAlignment="1" applyProtection="1">
      <alignment horizontal="center" vertical="center"/>
      <protection hidden="1"/>
    </xf>
    <xf numFmtId="165" fontId="37" fillId="16" borderId="21" xfId="0" applyNumberFormat="1" applyFont="1" applyFill="1" applyBorder="1" applyAlignment="1" applyProtection="1">
      <alignment horizontal="center" vertical="center" wrapText="1"/>
      <protection hidden="1"/>
    </xf>
    <xf numFmtId="0" fontId="41" fillId="22" borderId="0" xfId="0" applyFont="1" applyFill="1" applyAlignment="1" applyProtection="1">
      <alignment horizontal="center"/>
      <protection hidden="1"/>
    </xf>
    <xf numFmtId="4" fontId="24" fillId="13" borderId="10" xfId="0" applyNumberFormat="1" applyFont="1" applyFill="1" applyBorder="1" applyAlignment="1" applyProtection="1">
      <alignment horizontal="center"/>
      <protection locked="0"/>
    </xf>
    <xf numFmtId="4" fontId="24" fillId="13" borderId="11" xfId="0" applyNumberFormat="1" applyFont="1" applyFill="1" applyBorder="1" applyAlignment="1" applyProtection="1">
      <alignment horizontal="center"/>
      <protection locked="0"/>
    </xf>
    <xf numFmtId="0" fontId="24" fillId="14" borderId="5" xfId="0" applyFont="1" applyFill="1" applyBorder="1" applyAlignment="1" applyProtection="1">
      <alignment horizontal="center"/>
      <protection locked="0"/>
    </xf>
    <xf numFmtId="0" fontId="24" fillId="14" borderId="6" xfId="0" applyFont="1" applyFill="1" applyBorder="1" applyAlignment="1" applyProtection="1">
      <alignment horizontal="center"/>
      <protection locked="0"/>
    </xf>
    <xf numFmtId="0" fontId="24" fillId="14" borderId="28" xfId="0" applyFont="1" applyFill="1" applyBorder="1" applyAlignment="1" applyProtection="1">
      <alignment horizontal="center"/>
      <protection locked="0"/>
    </xf>
    <xf numFmtId="0" fontId="24" fillId="14" borderId="29" xfId="0" applyFont="1" applyFill="1" applyBorder="1" applyAlignment="1" applyProtection="1">
      <alignment horizontal="center"/>
      <protection locked="0"/>
    </xf>
    <xf numFmtId="0" fontId="25" fillId="17" borderId="18" xfId="0" applyFont="1" applyFill="1" applyBorder="1" applyAlignment="1" applyProtection="1">
      <alignment horizontal="center" vertical="center"/>
      <protection hidden="1"/>
    </xf>
    <xf numFmtId="0" fontId="25" fillId="17" borderId="19" xfId="0" applyFont="1" applyFill="1" applyBorder="1" applyAlignment="1" applyProtection="1">
      <alignment horizontal="center" vertical="center"/>
      <protection hidden="1"/>
    </xf>
    <xf numFmtId="0" fontId="25" fillId="17" borderId="20" xfId="0" applyFont="1" applyFill="1" applyBorder="1" applyAlignment="1" applyProtection="1">
      <alignment horizontal="center" vertical="center"/>
      <protection hidden="1"/>
    </xf>
    <xf numFmtId="0" fontId="25" fillId="17" borderId="21" xfId="0" applyFont="1" applyFill="1" applyBorder="1" applyAlignment="1" applyProtection="1">
      <alignment horizontal="center" vertical="center"/>
      <protection hidden="1"/>
    </xf>
    <xf numFmtId="0" fontId="36" fillId="17" borderId="22" xfId="0" applyFont="1" applyFill="1" applyBorder="1" applyAlignment="1" applyProtection="1">
      <alignment horizontal="center" vertical="top"/>
      <protection hidden="1"/>
    </xf>
    <xf numFmtId="0" fontId="25" fillId="17" borderId="23" xfId="0" applyFont="1" applyFill="1" applyBorder="1" applyAlignment="1" applyProtection="1">
      <alignment horizontal="center" vertical="top"/>
      <protection hidden="1"/>
    </xf>
    <xf numFmtId="0" fontId="0" fillId="4" borderId="9" xfId="0" applyFill="1" applyBorder="1" applyAlignment="1" applyProtection="1">
      <alignment horizontal="center" vertical="top" wrapText="1"/>
      <protection hidden="1"/>
    </xf>
    <xf numFmtId="0" fontId="0" fillId="4" borderId="0" xfId="0" applyFill="1" applyAlignment="1" applyProtection="1">
      <alignment horizontal="center" vertical="top" wrapText="1"/>
      <protection hidden="1"/>
    </xf>
    <xf numFmtId="0" fontId="14" fillId="5" borderId="2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5" xfId="0" applyFont="1" applyFill="1" applyBorder="1" applyAlignment="1">
      <alignment horizontal="center" vertical="center" wrapText="1"/>
    </xf>
    <xf numFmtId="0" fontId="14" fillId="5" borderId="17" xfId="0" applyFont="1" applyFill="1" applyBorder="1" applyAlignment="1">
      <alignment horizontal="center" vertical="center" wrapText="1"/>
    </xf>
    <xf numFmtId="0" fontId="14" fillId="5" borderId="16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4" fillId="2" borderId="16" xfId="0" applyFont="1" applyFill="1" applyBorder="1" applyAlignment="1">
      <alignment horizontal="center" vertical="center" wrapText="1"/>
    </xf>
  </cellXfs>
  <cellStyles count="4">
    <cellStyle name="Normalny" xfId="0" builtinId="0"/>
    <cellStyle name="Procentowy" xfId="3" builtinId="5"/>
    <cellStyle name="常规 4 4" xfId="1" xr:uid="{0C7D9C21-3446-44EA-B184-9FBCF10BDB21}"/>
    <cellStyle name="常规 5" xfId="2" xr:uid="{89CD76DC-80C4-4C26-942A-0DC0A66B6662}"/>
  </cellStyles>
  <dxfs count="1">
    <dxf>
      <font>
        <color rgb="FFFFFFFF"/>
      </font>
      <fill>
        <patternFill>
          <bgColor rgb="FFFFFFFF"/>
        </patternFill>
      </fill>
    </dxf>
  </dxfs>
  <tableStyles count="0" defaultTableStyle="TableStyleMedium9" defaultPivotStyle="PivotStyleLight16"/>
  <colors>
    <mruColors>
      <color rgb="FF00FA71"/>
      <color rgb="FFB3FFD5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950259</xdr:colOff>
      <xdr:row>0</xdr:row>
      <xdr:rowOff>108473</xdr:rowOff>
    </xdr:from>
    <xdr:to>
      <xdr:col>8</xdr:col>
      <xdr:colOff>1635163</xdr:colOff>
      <xdr:row>3</xdr:row>
      <xdr:rowOff>131333</xdr:rowOff>
    </xdr:to>
    <xdr:sp macro="[0]!PrzelaczBlokadeKalkulatora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94E24154-CF9A-45A3-2BA5-B363598F682C}"/>
            </a:ext>
          </a:extLst>
        </xdr:cNvPr>
        <xdr:cNvSpPr/>
      </xdr:nvSpPr>
      <xdr:spPr>
        <a:xfrm>
          <a:off x="10775577" y="108473"/>
          <a:ext cx="2388198" cy="560742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accent4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800" b="1"/>
            <a:t>ODBLOKUJ ARKUSZ </a:t>
          </a:r>
        </a:p>
      </xdr:txBody>
    </xdr:sp>
    <xdr:clientData/>
  </xdr:twoCellAnchor>
  <xdr:twoCellAnchor>
    <xdr:from>
      <xdr:col>1</xdr:col>
      <xdr:colOff>2375647</xdr:colOff>
      <xdr:row>23</xdr:row>
      <xdr:rowOff>121024</xdr:rowOff>
    </xdr:from>
    <xdr:to>
      <xdr:col>3</xdr:col>
      <xdr:colOff>112060</xdr:colOff>
      <xdr:row>25</xdr:row>
      <xdr:rowOff>144332</xdr:rowOff>
    </xdr:to>
    <xdr:sp macro="[0]!GenerujOferteFinal" textlink="">
      <xdr:nvSpPr>
        <xdr:cNvPr id="3" name="Prostokąt: zaokrąglone rogi 2">
          <a:extLst>
            <a:ext uri="{FF2B5EF4-FFF2-40B4-BE49-F238E27FC236}">
              <a16:creationId xmlns:a16="http://schemas.microsoft.com/office/drawing/2014/main" id="{A4552CCE-438E-FB15-9A5F-09B815D53C86}"/>
            </a:ext>
          </a:extLst>
        </xdr:cNvPr>
        <xdr:cNvSpPr/>
      </xdr:nvSpPr>
      <xdr:spPr>
        <a:xfrm>
          <a:off x="2859741" y="4773706"/>
          <a:ext cx="3330390" cy="381897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accent4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 b="1"/>
            <a:t>SKOPIUJ</a:t>
          </a:r>
          <a:r>
            <a:rPr lang="pl-PL" sz="1600" b="1" baseline="0"/>
            <a:t> KONFIGURACJĘ WÓZKA</a:t>
          </a:r>
          <a:endParaRPr lang="pl-PL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0</xdr:row>
      <xdr:rowOff>175260</xdr:rowOff>
    </xdr:from>
    <xdr:to>
      <xdr:col>7</xdr:col>
      <xdr:colOff>182880</xdr:colOff>
      <xdr:row>3</xdr:row>
      <xdr:rowOff>160020</xdr:rowOff>
    </xdr:to>
    <xdr:sp macro="[0]!Arkusz12.PrzelaczBlokadeKarol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CC7D9B66-1FEF-AD06-78D6-DCBD471B4398}"/>
            </a:ext>
          </a:extLst>
        </xdr:cNvPr>
        <xdr:cNvSpPr/>
      </xdr:nvSpPr>
      <xdr:spPr>
        <a:xfrm>
          <a:off x="3223260" y="175260"/>
          <a:ext cx="3246120" cy="5334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accent4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800" b="1"/>
            <a:t>ODBLOKUJ ARKUSZ</a:t>
          </a:r>
          <a:r>
            <a:rPr lang="pl-PL" sz="1800" b="1" baseline="0"/>
            <a:t> DO EDYCJI</a:t>
          </a:r>
          <a:endParaRPr lang="pl-PL" sz="18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DS208"/>
  <sheetViews>
    <sheetView showGridLines="0" tabSelected="1" zoomScale="85" zoomScaleNormal="85" workbookViewId="0">
      <selection activeCell="C6" sqref="C6:D6"/>
    </sheetView>
  </sheetViews>
  <sheetFormatPr defaultColWidth="0" defaultRowHeight="14.4" zeroHeight="1"/>
  <cols>
    <col min="1" max="1" width="3.21875" style="95" customWidth="1"/>
    <col min="2" max="2" width="34.88671875" style="37" customWidth="1"/>
    <col min="3" max="3" width="52.77734375" style="37" customWidth="1"/>
    <col min="4" max="4" width="2.6640625" style="37" customWidth="1"/>
    <col min="5" max="5" width="23.44140625" style="38" hidden="1" customWidth="1"/>
    <col min="6" max="6" width="3.109375" style="37" customWidth="1"/>
    <col min="7" max="7" width="23.109375" style="37" customWidth="1"/>
    <col min="8" max="8" width="24.77734375" style="37" customWidth="1"/>
    <col min="9" max="9" width="23.88671875" style="37" customWidth="1"/>
    <col min="10" max="10" width="3.21875" style="95" customWidth="1"/>
    <col min="11" max="11" width="45.88671875" style="95" customWidth="1"/>
    <col min="12" max="12" width="8.88671875" style="95" customWidth="1"/>
    <col min="13" max="13" width="0" style="95" hidden="1" customWidth="1"/>
    <col min="14" max="123" width="0" style="37" hidden="1" customWidth="1"/>
    <col min="124" max="16384" width="8.88671875" style="37" hidden="1"/>
  </cols>
  <sheetData>
    <row r="1" spans="1:123" ht="28.2" customHeight="1">
      <c r="A1" s="136" t="s">
        <v>402</v>
      </c>
      <c r="B1" s="136"/>
      <c r="C1" s="136"/>
      <c r="D1" s="136"/>
      <c r="E1" s="136"/>
      <c r="F1" s="136"/>
      <c r="G1" s="136"/>
      <c r="H1" s="136"/>
      <c r="I1" s="136"/>
      <c r="K1" s="128" t="s">
        <v>433</v>
      </c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5"/>
      <c r="AO1" s="95"/>
      <c r="AP1" s="95"/>
      <c r="AQ1" s="95"/>
      <c r="AR1" s="95"/>
      <c r="AS1" s="95"/>
      <c r="AT1" s="95"/>
      <c r="AU1" s="95"/>
      <c r="AV1" s="95"/>
      <c r="AW1" s="95"/>
      <c r="AX1" s="95"/>
      <c r="AY1" s="95"/>
      <c r="AZ1" s="95"/>
      <c r="BA1" s="95"/>
      <c r="BB1" s="95"/>
      <c r="BC1" s="95"/>
      <c r="BD1" s="95"/>
      <c r="BE1" s="95"/>
      <c r="BF1" s="95"/>
      <c r="BG1" s="95"/>
      <c r="BH1" s="95"/>
      <c r="BI1" s="95"/>
      <c r="BJ1" s="95"/>
      <c r="BK1" s="95"/>
      <c r="BL1" s="95"/>
      <c r="BM1" s="95"/>
      <c r="BN1" s="95"/>
      <c r="BO1" s="95"/>
      <c r="BP1" s="95"/>
      <c r="BQ1" s="95"/>
      <c r="BR1" s="95"/>
      <c r="BS1" s="95"/>
      <c r="BT1" s="95"/>
      <c r="BU1" s="95"/>
      <c r="BV1" s="95"/>
      <c r="BW1" s="95"/>
      <c r="BX1" s="95"/>
      <c r="BY1" s="95"/>
      <c r="BZ1" s="95"/>
      <c r="CA1" s="95"/>
      <c r="CB1" s="95"/>
      <c r="CC1" s="95"/>
      <c r="CD1" s="95"/>
      <c r="CE1" s="95"/>
      <c r="CF1" s="95"/>
      <c r="CG1" s="95"/>
      <c r="CH1" s="95"/>
      <c r="CI1" s="95"/>
      <c r="CJ1" s="95"/>
      <c r="CK1" s="95"/>
      <c r="CL1" s="95"/>
      <c r="CM1" s="95"/>
      <c r="CN1" s="95"/>
      <c r="CO1" s="95"/>
      <c r="CP1" s="95"/>
      <c r="CQ1" s="95"/>
      <c r="CR1" s="95"/>
      <c r="CS1" s="95"/>
      <c r="CT1" s="95"/>
      <c r="CU1" s="95"/>
      <c r="CV1" s="95"/>
      <c r="CW1" s="95"/>
      <c r="CX1" s="95"/>
      <c r="CY1" s="95"/>
      <c r="CZ1" s="95"/>
      <c r="DA1" s="95"/>
      <c r="DB1" s="95"/>
      <c r="DC1" s="95"/>
      <c r="DD1" s="95"/>
      <c r="DE1" s="95"/>
      <c r="DF1" s="95"/>
      <c r="DG1" s="95"/>
      <c r="DH1" s="95"/>
      <c r="DI1" s="95"/>
      <c r="DJ1" s="95"/>
      <c r="DK1" s="95"/>
      <c r="DL1" s="95"/>
      <c r="DM1" s="95"/>
      <c r="DN1" s="95"/>
      <c r="DO1" s="95"/>
      <c r="DP1" s="95"/>
      <c r="DQ1" s="95"/>
      <c r="DR1" s="95"/>
      <c r="DS1" s="95"/>
    </row>
    <row r="2" spans="1:123" ht="16.2" hidden="1" customHeight="1">
      <c r="A2" s="94"/>
      <c r="B2" s="95"/>
      <c r="C2" s="95"/>
      <c r="D2" s="95"/>
      <c r="E2" s="96"/>
      <c r="F2" s="94"/>
      <c r="G2" s="94"/>
      <c r="H2" s="94"/>
      <c r="I2" s="94"/>
      <c r="K2" s="128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5"/>
      <c r="AL2" s="95"/>
      <c r="AM2" s="95"/>
      <c r="AN2" s="95"/>
      <c r="AO2" s="95"/>
      <c r="AP2" s="95"/>
      <c r="AQ2" s="95"/>
      <c r="AR2" s="95"/>
      <c r="AS2" s="95"/>
      <c r="AT2" s="95"/>
      <c r="AU2" s="95"/>
      <c r="AV2" s="95"/>
      <c r="AW2" s="95"/>
      <c r="AX2" s="95"/>
      <c r="AY2" s="95"/>
      <c r="AZ2" s="95"/>
      <c r="BA2" s="95"/>
      <c r="BB2" s="95"/>
      <c r="BC2" s="95"/>
      <c r="BD2" s="95"/>
      <c r="BE2" s="95"/>
      <c r="BF2" s="95"/>
      <c r="BG2" s="95"/>
      <c r="BH2" s="95"/>
      <c r="BI2" s="95"/>
      <c r="BJ2" s="95"/>
      <c r="BK2" s="95"/>
      <c r="BL2" s="95"/>
      <c r="BM2" s="95"/>
      <c r="BN2" s="95"/>
      <c r="BO2" s="95"/>
      <c r="BP2" s="95"/>
      <c r="BQ2" s="95"/>
      <c r="BR2" s="95"/>
      <c r="BS2" s="95"/>
      <c r="BT2" s="95"/>
      <c r="BU2" s="95"/>
      <c r="BV2" s="95"/>
      <c r="BW2" s="95"/>
      <c r="BX2" s="95"/>
      <c r="BY2" s="95"/>
      <c r="BZ2" s="95"/>
      <c r="CA2" s="95"/>
      <c r="CB2" s="95"/>
      <c r="CC2" s="95"/>
      <c r="CD2" s="95"/>
      <c r="CE2" s="95"/>
      <c r="CF2" s="95"/>
      <c r="CG2" s="95"/>
      <c r="CH2" s="95"/>
      <c r="CI2" s="95"/>
      <c r="CJ2" s="95"/>
      <c r="CK2" s="95"/>
      <c r="CL2" s="95"/>
      <c r="CM2" s="95"/>
      <c r="CN2" s="95"/>
      <c r="CO2" s="95"/>
      <c r="CP2" s="95"/>
      <c r="CQ2" s="95"/>
      <c r="CR2" s="95"/>
      <c r="CS2" s="95"/>
      <c r="CT2" s="95"/>
      <c r="CU2" s="95"/>
      <c r="CV2" s="95"/>
      <c r="CW2" s="95"/>
      <c r="CX2" s="95"/>
      <c r="CY2" s="95"/>
      <c r="CZ2" s="95"/>
      <c r="DA2" s="95"/>
      <c r="DB2" s="95"/>
      <c r="DC2" s="95"/>
      <c r="DD2" s="95"/>
      <c r="DE2" s="95"/>
      <c r="DF2" s="95"/>
      <c r="DG2" s="95"/>
      <c r="DH2" s="95"/>
      <c r="DI2" s="95"/>
      <c r="DJ2" s="95"/>
      <c r="DK2" s="95"/>
      <c r="DL2" s="95"/>
      <c r="DM2" s="95"/>
      <c r="DN2" s="95"/>
      <c r="DO2" s="95"/>
      <c r="DP2" s="95"/>
      <c r="DQ2" s="95"/>
      <c r="DR2" s="95"/>
      <c r="DS2" s="95"/>
    </row>
    <row r="3" spans="1:123" ht="14.4" customHeight="1">
      <c r="A3" s="94"/>
      <c r="B3" s="94"/>
      <c r="C3" s="94"/>
      <c r="D3" s="94"/>
      <c r="E3" s="97"/>
      <c r="F3" s="94"/>
      <c r="G3" s="94"/>
      <c r="H3" s="94"/>
      <c r="I3" s="94"/>
      <c r="J3" s="122"/>
      <c r="K3" s="128"/>
      <c r="L3" s="122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5"/>
      <c r="AN3" s="95"/>
      <c r="AO3" s="95"/>
      <c r="AP3" s="95"/>
      <c r="AQ3" s="95"/>
      <c r="AR3" s="95"/>
      <c r="AS3" s="95"/>
      <c r="AT3" s="95"/>
      <c r="AU3" s="95"/>
      <c r="AV3" s="95"/>
      <c r="AW3" s="95"/>
      <c r="AX3" s="95"/>
      <c r="AY3" s="95"/>
      <c r="AZ3" s="95"/>
      <c r="BA3" s="95"/>
      <c r="BB3" s="95"/>
      <c r="BC3" s="95"/>
      <c r="BD3" s="95"/>
      <c r="BE3" s="95"/>
      <c r="BF3" s="95"/>
      <c r="BG3" s="95"/>
      <c r="BH3" s="95"/>
      <c r="BI3" s="95"/>
      <c r="BJ3" s="95"/>
      <c r="BK3" s="95"/>
      <c r="BL3" s="95"/>
      <c r="BM3" s="95"/>
      <c r="BN3" s="95"/>
      <c r="BO3" s="95"/>
      <c r="BP3" s="95"/>
      <c r="BQ3" s="95"/>
      <c r="BR3" s="95"/>
      <c r="BS3" s="95"/>
      <c r="BT3" s="95"/>
      <c r="BU3" s="95"/>
      <c r="BV3" s="95"/>
      <c r="BW3" s="95"/>
      <c r="BX3" s="95"/>
      <c r="BY3" s="95"/>
      <c r="BZ3" s="95"/>
      <c r="CA3" s="95"/>
      <c r="CB3" s="95"/>
      <c r="CC3" s="95"/>
      <c r="CD3" s="95"/>
      <c r="CE3" s="95"/>
      <c r="CF3" s="95"/>
      <c r="CG3" s="95"/>
      <c r="CH3" s="95"/>
      <c r="CI3" s="95"/>
      <c r="CJ3" s="95"/>
      <c r="CK3" s="95"/>
      <c r="CL3" s="95"/>
      <c r="CM3" s="95"/>
      <c r="CN3" s="95"/>
      <c r="CO3" s="95"/>
      <c r="CP3" s="95"/>
      <c r="CQ3" s="95"/>
      <c r="CR3" s="95"/>
      <c r="CS3" s="95"/>
      <c r="CT3" s="95"/>
      <c r="CU3" s="95"/>
      <c r="CV3" s="95"/>
      <c r="CW3" s="95"/>
      <c r="CX3" s="95"/>
      <c r="CY3" s="95"/>
      <c r="CZ3" s="95"/>
      <c r="DA3" s="95"/>
      <c r="DB3" s="95"/>
      <c r="DC3" s="95"/>
      <c r="DD3" s="95"/>
      <c r="DE3" s="95"/>
      <c r="DF3" s="95"/>
      <c r="DG3" s="95"/>
      <c r="DH3" s="95"/>
      <c r="DI3" s="95"/>
      <c r="DJ3" s="95"/>
      <c r="DK3" s="95"/>
      <c r="DL3" s="95"/>
      <c r="DM3" s="95"/>
      <c r="DN3" s="95"/>
      <c r="DO3" s="95"/>
      <c r="DP3" s="95"/>
      <c r="DQ3" s="95"/>
      <c r="DR3" s="95"/>
      <c r="DS3" s="95"/>
    </row>
    <row r="4" spans="1:123" ht="18">
      <c r="A4" s="94"/>
      <c r="B4" s="133" t="s">
        <v>416</v>
      </c>
      <c r="C4" s="134"/>
      <c r="D4" s="135"/>
      <c r="E4" s="107" t="s">
        <v>4</v>
      </c>
      <c r="F4" s="108" t="str">
        <f>IF(ISBLANK(C11), "", VLOOKUP(C11, Baza_Wozki!A:F, 5, FALSE))</f>
        <v>2-2.5T</v>
      </c>
      <c r="G4" s="109"/>
      <c r="H4" s="94"/>
      <c r="I4" s="94"/>
      <c r="J4" s="122"/>
      <c r="K4" s="128"/>
      <c r="L4" s="122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  <c r="AC4" s="95"/>
      <c r="AD4" s="95"/>
      <c r="AE4" s="95"/>
      <c r="AF4" s="95"/>
      <c r="AG4" s="95"/>
      <c r="AH4" s="95"/>
      <c r="AI4" s="95"/>
      <c r="AJ4" s="95"/>
      <c r="AK4" s="95"/>
      <c r="AL4" s="95"/>
      <c r="AM4" s="95"/>
      <c r="AN4" s="95"/>
      <c r="AO4" s="95"/>
      <c r="AP4" s="95"/>
      <c r="AQ4" s="95"/>
      <c r="AR4" s="95"/>
      <c r="AS4" s="95"/>
      <c r="AT4" s="95"/>
      <c r="AU4" s="95"/>
      <c r="AV4" s="95"/>
      <c r="AW4" s="95"/>
      <c r="AX4" s="95"/>
      <c r="AY4" s="95"/>
      <c r="AZ4" s="95"/>
      <c r="BA4" s="95"/>
      <c r="BB4" s="95"/>
      <c r="BC4" s="95"/>
      <c r="BD4" s="95"/>
      <c r="BE4" s="95"/>
      <c r="BF4" s="95"/>
      <c r="BG4" s="95"/>
      <c r="BH4" s="95"/>
      <c r="BI4" s="95"/>
      <c r="BJ4" s="95"/>
      <c r="BK4" s="95"/>
      <c r="BL4" s="95"/>
      <c r="BM4" s="95"/>
      <c r="BN4" s="95"/>
      <c r="BO4" s="95"/>
      <c r="BP4" s="95"/>
      <c r="BQ4" s="95"/>
      <c r="BR4" s="95"/>
      <c r="BS4" s="95"/>
      <c r="BT4" s="95"/>
      <c r="BU4" s="95"/>
      <c r="BV4" s="95"/>
      <c r="BW4" s="95"/>
      <c r="BX4" s="95"/>
      <c r="BY4" s="95"/>
      <c r="BZ4" s="95"/>
      <c r="CA4" s="95"/>
      <c r="CB4" s="95"/>
      <c r="CC4" s="95"/>
      <c r="CD4" s="95"/>
      <c r="CE4" s="95"/>
      <c r="CF4" s="95"/>
      <c r="CG4" s="95"/>
      <c r="CH4" s="95"/>
      <c r="CI4" s="95"/>
      <c r="CJ4" s="95"/>
      <c r="CK4" s="95"/>
      <c r="CL4" s="95"/>
      <c r="CM4" s="95"/>
      <c r="CN4" s="95"/>
      <c r="CO4" s="95"/>
      <c r="CP4" s="95"/>
      <c r="CQ4" s="95"/>
      <c r="CR4" s="95"/>
      <c r="CS4" s="95"/>
      <c r="CT4" s="95"/>
      <c r="CU4" s="95"/>
      <c r="CV4" s="95"/>
      <c r="CW4" s="95"/>
      <c r="CX4" s="95"/>
      <c r="CY4" s="95"/>
      <c r="CZ4" s="95"/>
      <c r="DA4" s="95"/>
      <c r="DB4" s="95"/>
      <c r="DC4" s="95"/>
      <c r="DD4" s="95"/>
      <c r="DE4" s="95"/>
      <c r="DF4" s="95"/>
      <c r="DG4" s="95"/>
      <c r="DH4" s="95"/>
      <c r="DI4" s="95"/>
      <c r="DJ4" s="95"/>
      <c r="DK4" s="95"/>
      <c r="DL4" s="95"/>
      <c r="DM4" s="95"/>
      <c r="DN4" s="95"/>
      <c r="DO4" s="95"/>
      <c r="DP4" s="95"/>
      <c r="DQ4" s="95"/>
      <c r="DR4" s="95"/>
      <c r="DS4" s="95"/>
    </row>
    <row r="5" spans="1:123" ht="15.6">
      <c r="A5" s="94"/>
      <c r="B5" s="47" t="s">
        <v>0</v>
      </c>
      <c r="C5" s="139">
        <v>3.8</v>
      </c>
      <c r="D5" s="140"/>
      <c r="E5" s="107" t="s">
        <v>398</v>
      </c>
      <c r="F5" s="110" t="str">
        <f>IF(ISBLANK(C11), 0, VLOOKUP(C11, Baza_Wozki!A:F, 4, FALSE))</f>
        <v>G3</v>
      </c>
      <c r="G5" s="111"/>
      <c r="H5" s="94"/>
      <c r="I5" s="94"/>
      <c r="J5" s="122"/>
      <c r="K5" s="128"/>
      <c r="L5" s="122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  <c r="AC5" s="95"/>
      <c r="AD5" s="95"/>
      <c r="AE5" s="95"/>
      <c r="AF5" s="95"/>
      <c r="AG5" s="95"/>
      <c r="AH5" s="95"/>
      <c r="AI5" s="95"/>
      <c r="AJ5" s="95"/>
      <c r="AK5" s="95"/>
      <c r="AL5" s="95"/>
      <c r="AM5" s="95"/>
      <c r="AN5" s="95"/>
      <c r="AO5" s="95"/>
      <c r="AP5" s="95"/>
      <c r="AQ5" s="95"/>
      <c r="AR5" s="95"/>
      <c r="AS5" s="95"/>
      <c r="AT5" s="95"/>
      <c r="AU5" s="95"/>
      <c r="AV5" s="95"/>
      <c r="AW5" s="95"/>
      <c r="AX5" s="95"/>
      <c r="AY5" s="95"/>
      <c r="AZ5" s="95"/>
      <c r="BA5" s="95"/>
      <c r="BB5" s="95"/>
      <c r="BC5" s="95"/>
      <c r="BD5" s="95"/>
      <c r="BE5" s="95"/>
      <c r="BF5" s="95"/>
      <c r="BG5" s="95"/>
      <c r="BH5" s="95"/>
      <c r="BI5" s="95"/>
      <c r="BJ5" s="95"/>
      <c r="BK5" s="95"/>
      <c r="BL5" s="95"/>
      <c r="BM5" s="95"/>
      <c r="BN5" s="95"/>
      <c r="BO5" s="95"/>
      <c r="BP5" s="95"/>
      <c r="BQ5" s="95"/>
      <c r="BR5" s="95"/>
      <c r="BS5" s="95"/>
      <c r="BT5" s="95"/>
      <c r="BU5" s="95"/>
      <c r="BV5" s="95"/>
      <c r="BW5" s="95"/>
      <c r="BX5" s="95"/>
      <c r="BY5" s="95"/>
      <c r="BZ5" s="95"/>
      <c r="CA5" s="95"/>
      <c r="CB5" s="95"/>
      <c r="CC5" s="95"/>
      <c r="CD5" s="95"/>
      <c r="CE5" s="95"/>
      <c r="CF5" s="95"/>
      <c r="CG5" s="95"/>
      <c r="CH5" s="95"/>
      <c r="CI5" s="95"/>
      <c r="CJ5" s="95"/>
      <c r="CK5" s="95"/>
      <c r="CL5" s="95"/>
      <c r="CM5" s="95"/>
      <c r="CN5" s="95"/>
      <c r="CO5" s="95"/>
      <c r="CP5" s="95"/>
      <c r="CQ5" s="95"/>
      <c r="CR5" s="95"/>
      <c r="CS5" s="95"/>
      <c r="CT5" s="95"/>
      <c r="CU5" s="95"/>
      <c r="CV5" s="95"/>
      <c r="CW5" s="95"/>
      <c r="CX5" s="95"/>
      <c r="CY5" s="95"/>
      <c r="CZ5" s="95"/>
      <c r="DA5" s="95"/>
      <c r="DB5" s="95"/>
      <c r="DC5" s="95"/>
      <c r="DD5" s="95"/>
      <c r="DE5" s="95"/>
      <c r="DF5" s="95"/>
      <c r="DG5" s="95"/>
      <c r="DH5" s="95"/>
      <c r="DI5" s="95"/>
      <c r="DJ5" s="95"/>
      <c r="DK5" s="95"/>
      <c r="DL5" s="95"/>
      <c r="DM5" s="95"/>
      <c r="DN5" s="95"/>
      <c r="DO5" s="95"/>
      <c r="DP5" s="95"/>
      <c r="DQ5" s="95"/>
      <c r="DR5" s="95"/>
      <c r="DS5" s="95"/>
    </row>
    <row r="6" spans="1:123" ht="14.4" customHeight="1">
      <c r="A6" s="94"/>
      <c r="B6" s="48" t="s">
        <v>400</v>
      </c>
      <c r="C6" s="141">
        <v>0.4</v>
      </c>
      <c r="D6" s="142"/>
      <c r="E6" s="151" t="str">
        <f>IF(ISBLANK(C11), 0, VLOOKUP(C11, Baza_Wozki!A:F, 2, FALSE))</f>
        <v>ZAPI Controler with standard battery HELI 80V/280AH</v>
      </c>
      <c r="F6" s="152"/>
      <c r="G6" s="152"/>
      <c r="H6" s="152"/>
      <c r="I6" s="152"/>
      <c r="J6" s="122"/>
      <c r="K6" s="128"/>
      <c r="L6" s="122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5"/>
      <c r="BA6" s="95"/>
      <c r="BB6" s="95"/>
      <c r="BC6" s="95"/>
      <c r="BD6" s="95"/>
      <c r="BE6" s="95"/>
      <c r="BF6" s="95"/>
      <c r="BG6" s="95"/>
      <c r="BH6" s="95"/>
      <c r="BI6" s="95"/>
      <c r="BJ6" s="95"/>
      <c r="BK6" s="95"/>
      <c r="BL6" s="95"/>
      <c r="BM6" s="95"/>
      <c r="BN6" s="95"/>
      <c r="BO6" s="95"/>
      <c r="BP6" s="95"/>
      <c r="BQ6" s="95"/>
      <c r="BR6" s="95"/>
      <c r="BS6" s="95"/>
      <c r="BT6" s="95"/>
      <c r="BU6" s="95"/>
      <c r="BV6" s="95"/>
      <c r="BW6" s="95"/>
      <c r="BX6" s="95"/>
      <c r="BY6" s="95"/>
      <c r="BZ6" s="95"/>
      <c r="CA6" s="95"/>
      <c r="CB6" s="95"/>
      <c r="CC6" s="95"/>
      <c r="CD6" s="95"/>
      <c r="CE6" s="95"/>
      <c r="CF6" s="95"/>
      <c r="CG6" s="95"/>
      <c r="CH6" s="95"/>
      <c r="CI6" s="95"/>
      <c r="CJ6" s="95"/>
      <c r="CK6" s="95"/>
      <c r="CL6" s="95"/>
      <c r="CM6" s="95"/>
      <c r="CN6" s="95"/>
      <c r="CO6" s="95"/>
      <c r="CP6" s="95"/>
      <c r="CQ6" s="95"/>
      <c r="CR6" s="95"/>
      <c r="CS6" s="95"/>
      <c r="CT6" s="95"/>
      <c r="CU6" s="95"/>
      <c r="CV6" s="95"/>
      <c r="CW6" s="95"/>
      <c r="CX6" s="95"/>
      <c r="CY6" s="95"/>
      <c r="CZ6" s="95"/>
      <c r="DA6" s="95"/>
      <c r="DB6" s="95"/>
      <c r="DC6" s="95"/>
      <c r="DD6" s="95"/>
      <c r="DE6" s="95"/>
      <c r="DF6" s="95"/>
      <c r="DG6" s="95"/>
      <c r="DH6" s="95"/>
      <c r="DI6" s="95"/>
      <c r="DJ6" s="95"/>
      <c r="DK6" s="95"/>
      <c r="DL6" s="95"/>
      <c r="DM6" s="95"/>
      <c r="DN6" s="95"/>
      <c r="DO6" s="95"/>
      <c r="DP6" s="95"/>
      <c r="DQ6" s="95"/>
      <c r="DR6" s="95"/>
      <c r="DS6" s="95"/>
    </row>
    <row r="7" spans="1:123" ht="15.6">
      <c r="A7" s="94"/>
      <c r="B7" s="75" t="s">
        <v>401</v>
      </c>
      <c r="C7" s="143">
        <v>0.3</v>
      </c>
      <c r="D7" s="144"/>
      <c r="E7" s="151"/>
      <c r="F7" s="152"/>
      <c r="G7" s="152"/>
      <c r="H7" s="152"/>
      <c r="I7" s="152"/>
      <c r="J7" s="122"/>
      <c r="K7" s="128"/>
      <c r="L7" s="122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  <c r="AS7" s="95"/>
      <c r="AT7" s="95"/>
      <c r="AU7" s="95"/>
      <c r="AV7" s="95"/>
      <c r="AW7" s="95"/>
      <c r="AX7" s="95"/>
      <c r="AY7" s="95"/>
      <c r="AZ7" s="95"/>
      <c r="BA7" s="95"/>
      <c r="BB7" s="95"/>
      <c r="BC7" s="95"/>
      <c r="BD7" s="95"/>
      <c r="BE7" s="95"/>
      <c r="BF7" s="95"/>
      <c r="BG7" s="95"/>
      <c r="BH7" s="95"/>
      <c r="BI7" s="95"/>
      <c r="BJ7" s="95"/>
      <c r="BK7" s="95"/>
      <c r="BL7" s="95"/>
      <c r="BM7" s="95"/>
      <c r="BN7" s="95"/>
      <c r="BO7" s="95"/>
      <c r="BP7" s="95"/>
      <c r="BQ7" s="95"/>
      <c r="BR7" s="95"/>
      <c r="BS7" s="95"/>
      <c r="BT7" s="95"/>
      <c r="BU7" s="95"/>
      <c r="BV7" s="95"/>
      <c r="BW7" s="95"/>
      <c r="BX7" s="95"/>
      <c r="BY7" s="95"/>
      <c r="BZ7" s="95"/>
      <c r="CA7" s="95"/>
      <c r="CB7" s="95"/>
      <c r="CC7" s="95"/>
      <c r="CD7" s="95"/>
      <c r="CE7" s="95"/>
      <c r="CF7" s="95"/>
      <c r="CG7" s="95"/>
      <c r="CH7" s="95"/>
      <c r="CI7" s="95"/>
      <c r="CJ7" s="95"/>
      <c r="CK7" s="95"/>
      <c r="CL7" s="95"/>
      <c r="CM7" s="95"/>
      <c r="CN7" s="95"/>
      <c r="CO7" s="95"/>
      <c r="CP7" s="95"/>
      <c r="CQ7" s="95"/>
      <c r="CR7" s="95"/>
      <c r="CS7" s="95"/>
      <c r="CT7" s="95"/>
      <c r="CU7" s="95"/>
      <c r="CV7" s="95"/>
      <c r="CW7" s="95"/>
      <c r="CX7" s="95"/>
      <c r="CY7" s="95"/>
      <c r="CZ7" s="95"/>
      <c r="DA7" s="95"/>
      <c r="DB7" s="95"/>
      <c r="DC7" s="95"/>
      <c r="DD7" s="95"/>
      <c r="DE7" s="95"/>
      <c r="DF7" s="95"/>
      <c r="DG7" s="95"/>
      <c r="DH7" s="95"/>
      <c r="DI7" s="95"/>
      <c r="DJ7" s="95"/>
      <c r="DK7" s="95"/>
      <c r="DL7" s="95"/>
      <c r="DM7" s="95"/>
      <c r="DN7" s="95"/>
      <c r="DO7" s="95"/>
      <c r="DP7" s="95"/>
      <c r="DQ7" s="95"/>
      <c r="DR7" s="95"/>
      <c r="DS7" s="95"/>
    </row>
    <row r="8" spans="1:123" s="100" customFormat="1" ht="15.6">
      <c r="A8" s="98"/>
      <c r="B8" s="121" t="s">
        <v>417</v>
      </c>
      <c r="C8" s="138">
        <f>IF(ISBLANK(C11), 0, VLOOKUP(C11, Baza_Wozki!A:G, 7, FALSE))</f>
        <v>4600</v>
      </c>
      <c r="D8" s="138"/>
      <c r="E8" s="99"/>
      <c r="F8" s="98"/>
      <c r="G8" s="98"/>
      <c r="H8" s="98"/>
      <c r="I8" s="98"/>
      <c r="J8" s="122"/>
      <c r="K8" s="128"/>
      <c r="L8" s="122"/>
    </row>
    <row r="9" spans="1:123" ht="18">
      <c r="A9" s="94"/>
      <c r="B9" s="85" t="s">
        <v>403</v>
      </c>
      <c r="C9" s="86"/>
      <c r="D9" s="86"/>
      <c r="E9" s="87"/>
      <c r="F9" s="94"/>
      <c r="G9" s="82" t="s">
        <v>410</v>
      </c>
      <c r="H9" s="83"/>
      <c r="I9" s="84"/>
      <c r="J9" s="122"/>
      <c r="K9" s="128"/>
      <c r="L9" s="122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  <c r="AB9" s="95"/>
      <c r="AC9" s="95"/>
      <c r="AD9" s="95"/>
      <c r="AE9" s="95"/>
      <c r="AF9" s="95"/>
      <c r="AG9" s="95"/>
      <c r="AH9" s="95"/>
      <c r="AI9" s="95"/>
      <c r="AJ9" s="95"/>
      <c r="AK9" s="95"/>
      <c r="AL9" s="95"/>
      <c r="AM9" s="95"/>
      <c r="AN9" s="95"/>
      <c r="AO9" s="95"/>
      <c r="AP9" s="95"/>
      <c r="AQ9" s="95"/>
      <c r="AR9" s="95"/>
      <c r="AS9" s="95"/>
      <c r="AT9" s="95"/>
      <c r="AU9" s="95"/>
      <c r="AV9" s="95"/>
      <c r="AW9" s="95"/>
      <c r="AX9" s="95"/>
      <c r="AY9" s="95"/>
      <c r="AZ9" s="95"/>
      <c r="BA9" s="95"/>
      <c r="BB9" s="95"/>
      <c r="BC9" s="95"/>
      <c r="BD9" s="95"/>
      <c r="BE9" s="95"/>
      <c r="BF9" s="95"/>
      <c r="BG9" s="95"/>
      <c r="BH9" s="95"/>
      <c r="BI9" s="95"/>
      <c r="BJ9" s="95"/>
      <c r="BK9" s="95"/>
      <c r="BL9" s="95"/>
      <c r="BM9" s="95"/>
      <c r="BN9" s="95"/>
      <c r="BO9" s="95"/>
      <c r="BP9" s="95"/>
      <c r="BQ9" s="95"/>
      <c r="BR9" s="95"/>
      <c r="BS9" s="95"/>
      <c r="BT9" s="95"/>
      <c r="BU9" s="95"/>
      <c r="BV9" s="95"/>
      <c r="BW9" s="95"/>
      <c r="BX9" s="95"/>
      <c r="BY9" s="95"/>
      <c r="BZ9" s="95"/>
      <c r="CA9" s="95"/>
      <c r="CB9" s="95"/>
      <c r="CC9" s="95"/>
      <c r="CD9" s="95"/>
      <c r="CE9" s="95"/>
      <c r="CF9" s="95"/>
      <c r="CG9" s="95"/>
      <c r="CH9" s="95"/>
      <c r="CI9" s="95"/>
      <c r="CJ9" s="95"/>
      <c r="CK9" s="95"/>
      <c r="CL9" s="95"/>
      <c r="CM9" s="95"/>
      <c r="CN9" s="95"/>
      <c r="CO9" s="95"/>
      <c r="CP9" s="95"/>
      <c r="CQ9" s="95"/>
      <c r="CR9" s="95"/>
      <c r="CS9" s="95"/>
      <c r="CT9" s="95"/>
      <c r="CU9" s="95"/>
      <c r="CV9" s="95"/>
      <c r="CW9" s="95"/>
      <c r="CX9" s="95"/>
      <c r="CY9" s="95"/>
      <c r="CZ9" s="95"/>
      <c r="DA9" s="95"/>
      <c r="DB9" s="95"/>
      <c r="DC9" s="95"/>
      <c r="DD9" s="95"/>
      <c r="DE9" s="95"/>
      <c r="DF9" s="95"/>
      <c r="DG9" s="95"/>
      <c r="DH9" s="95"/>
      <c r="DI9" s="95"/>
      <c r="DJ9" s="95"/>
      <c r="DK9" s="95"/>
      <c r="DL9" s="95"/>
      <c r="DM9" s="95"/>
      <c r="DN9" s="95"/>
      <c r="DO9" s="95"/>
      <c r="DP9" s="95"/>
      <c r="DQ9" s="95"/>
      <c r="DR9" s="95"/>
      <c r="DS9" s="95"/>
    </row>
    <row r="10" spans="1:123" ht="18" customHeight="1">
      <c r="A10" s="94"/>
      <c r="B10" s="44" t="s">
        <v>1</v>
      </c>
      <c r="C10" s="42" t="s">
        <v>26</v>
      </c>
      <c r="D10" s="39"/>
      <c r="E10" s="46" t="s">
        <v>2</v>
      </c>
      <c r="F10" s="94"/>
      <c r="G10" s="76" t="s">
        <v>411</v>
      </c>
      <c r="H10" s="77" t="s">
        <v>418</v>
      </c>
      <c r="I10" s="78"/>
      <c r="J10" s="122"/>
      <c r="K10" s="128"/>
      <c r="L10" s="122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  <c r="AE10" s="95"/>
      <c r="AF10" s="95"/>
      <c r="AG10" s="95"/>
      <c r="AH10" s="95"/>
      <c r="AI10" s="95"/>
      <c r="AJ10" s="95"/>
      <c r="AK10" s="95"/>
      <c r="AL10" s="95"/>
      <c r="AM10" s="95"/>
      <c r="AN10" s="95"/>
      <c r="AO10" s="95"/>
      <c r="AP10" s="95"/>
      <c r="AQ10" s="95"/>
      <c r="AR10" s="95"/>
      <c r="AS10" s="95"/>
      <c r="AT10" s="95"/>
      <c r="AU10" s="95"/>
      <c r="AV10" s="95"/>
      <c r="AW10" s="95"/>
      <c r="AX10" s="95"/>
      <c r="AY10" s="95"/>
      <c r="AZ10" s="95"/>
      <c r="BA10" s="95"/>
      <c r="BB10" s="95"/>
      <c r="BC10" s="95"/>
      <c r="BD10" s="95"/>
      <c r="BE10" s="95"/>
      <c r="BF10" s="95"/>
      <c r="BG10" s="95"/>
      <c r="BH10" s="95"/>
      <c r="BI10" s="95"/>
      <c r="BJ10" s="95"/>
      <c r="BK10" s="95"/>
      <c r="BL10" s="95"/>
      <c r="BM10" s="95"/>
      <c r="BN10" s="95"/>
      <c r="BO10" s="95"/>
      <c r="BP10" s="95"/>
      <c r="BQ10" s="95"/>
      <c r="BR10" s="95"/>
      <c r="BS10" s="95"/>
      <c r="BT10" s="95"/>
      <c r="BU10" s="95"/>
      <c r="BV10" s="95"/>
      <c r="BW10" s="95"/>
      <c r="BX10" s="95"/>
      <c r="BY10" s="95"/>
      <c r="BZ10" s="95"/>
      <c r="CA10" s="95"/>
      <c r="CB10" s="95"/>
      <c r="CC10" s="95"/>
      <c r="CD10" s="95"/>
      <c r="CE10" s="95"/>
      <c r="CF10" s="95"/>
      <c r="CG10" s="95"/>
      <c r="CH10" s="95"/>
      <c r="CI10" s="95"/>
      <c r="CJ10" s="95"/>
      <c r="CK10" s="95"/>
      <c r="CL10" s="95"/>
      <c r="CM10" s="95"/>
      <c r="CN10" s="95"/>
      <c r="CO10" s="95"/>
      <c r="CP10" s="95"/>
      <c r="CQ10" s="95"/>
      <c r="CR10" s="95"/>
      <c r="CS10" s="95"/>
      <c r="CT10" s="95"/>
      <c r="CU10" s="95"/>
      <c r="CV10" s="95"/>
      <c r="CW10" s="95"/>
      <c r="CX10" s="95"/>
      <c r="CY10" s="95"/>
      <c r="CZ10" s="95"/>
      <c r="DA10" s="95"/>
      <c r="DB10" s="95"/>
      <c r="DC10" s="95"/>
      <c r="DD10" s="95"/>
      <c r="DE10" s="95"/>
      <c r="DF10" s="95"/>
      <c r="DG10" s="95"/>
      <c r="DH10" s="95"/>
      <c r="DI10" s="95"/>
      <c r="DJ10" s="95"/>
      <c r="DK10" s="95"/>
      <c r="DL10" s="95"/>
      <c r="DM10" s="95"/>
      <c r="DN10" s="95"/>
      <c r="DO10" s="95"/>
      <c r="DP10" s="95"/>
      <c r="DQ10" s="95"/>
      <c r="DR10" s="95"/>
      <c r="DS10" s="95"/>
    </row>
    <row r="11" spans="1:123" ht="18" customHeight="1">
      <c r="A11" s="94"/>
      <c r="B11" s="44" t="s">
        <v>3</v>
      </c>
      <c r="C11" s="42" t="s">
        <v>182</v>
      </c>
      <c r="D11" s="40"/>
      <c r="E11" s="41">
        <f>IF(ISBLANK(C11), 0, VLOOKUP(C11, Baza_Wozki!A:F, 6, FALSE))</f>
        <v>22200</v>
      </c>
      <c r="F11" s="94"/>
      <c r="G11" s="79" t="s">
        <v>412</v>
      </c>
      <c r="H11" s="80" t="s">
        <v>419</v>
      </c>
      <c r="I11" s="81"/>
      <c r="J11" s="122"/>
      <c r="K11" s="128"/>
      <c r="L11" s="122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  <c r="AR11" s="95"/>
      <c r="AS11" s="95"/>
      <c r="AT11" s="95"/>
      <c r="AU11" s="95"/>
      <c r="AV11" s="95"/>
      <c r="AW11" s="95"/>
      <c r="AX11" s="95"/>
      <c r="AY11" s="95"/>
      <c r="AZ11" s="95"/>
      <c r="BA11" s="95"/>
      <c r="BB11" s="95"/>
      <c r="BC11" s="95"/>
      <c r="BD11" s="95"/>
      <c r="BE11" s="95"/>
      <c r="BF11" s="95"/>
      <c r="BG11" s="95"/>
      <c r="BH11" s="95"/>
      <c r="BI11" s="95"/>
      <c r="BJ11" s="95"/>
      <c r="BK11" s="95"/>
      <c r="BL11" s="95"/>
      <c r="BM11" s="95"/>
      <c r="BN11" s="95"/>
      <c r="BO11" s="95"/>
      <c r="BP11" s="95"/>
      <c r="BQ11" s="95"/>
      <c r="BR11" s="95"/>
      <c r="BS11" s="95"/>
      <c r="BT11" s="95"/>
      <c r="BU11" s="95"/>
      <c r="BV11" s="95"/>
      <c r="BW11" s="95"/>
      <c r="BX11" s="95"/>
      <c r="BY11" s="95"/>
      <c r="BZ11" s="95"/>
      <c r="CA11" s="95"/>
      <c r="CB11" s="95"/>
      <c r="CC11" s="95"/>
      <c r="CD11" s="95"/>
      <c r="CE11" s="95"/>
      <c r="CF11" s="95"/>
      <c r="CG11" s="95"/>
      <c r="CH11" s="95"/>
      <c r="CI11" s="95"/>
      <c r="CJ11" s="95"/>
      <c r="CK11" s="95"/>
      <c r="CL11" s="95"/>
      <c r="CM11" s="95"/>
      <c r="CN11" s="95"/>
      <c r="CO11" s="95"/>
      <c r="CP11" s="95"/>
      <c r="CQ11" s="95"/>
      <c r="CR11" s="95"/>
      <c r="CS11" s="95"/>
      <c r="CT11" s="95"/>
      <c r="CU11" s="95"/>
      <c r="CV11" s="95"/>
      <c r="CW11" s="95"/>
      <c r="CX11" s="95"/>
      <c r="CY11" s="95"/>
      <c r="CZ11" s="95"/>
      <c r="DA11" s="95"/>
      <c r="DB11" s="95"/>
      <c r="DC11" s="95"/>
      <c r="DD11" s="95"/>
      <c r="DE11" s="95"/>
      <c r="DF11" s="95"/>
      <c r="DG11" s="95"/>
      <c r="DH11" s="95"/>
      <c r="DI11" s="95"/>
      <c r="DJ11" s="95"/>
      <c r="DK11" s="95"/>
      <c r="DL11" s="95"/>
      <c r="DM11" s="95"/>
      <c r="DN11" s="95"/>
      <c r="DO11" s="95"/>
      <c r="DP11" s="95"/>
      <c r="DQ11" s="95"/>
      <c r="DR11" s="95"/>
      <c r="DS11" s="95"/>
    </row>
    <row r="12" spans="1:123" ht="18" customHeight="1">
      <c r="A12" s="94"/>
      <c r="B12" s="45" t="s">
        <v>397</v>
      </c>
      <c r="C12" s="43" t="s">
        <v>248</v>
      </c>
      <c r="D12" s="40"/>
      <c r="E12" s="41"/>
      <c r="F12" s="94"/>
      <c r="G12" s="112" t="s">
        <v>413</v>
      </c>
      <c r="H12" s="113" t="str">
        <f>C22</f>
        <v>TAK</v>
      </c>
      <c r="I12" s="114" cm="1">
        <f t="array" ref="I12">IF(H12="TAK", _xlfn.XLOOKUP(1, ('Baza_OPS+kay'!$B$1:$Y$1=C10)*('Baza_OPS+kay'!$B$2:$Y$2=F5)*('Baza_OPS+kay'!$B$3:$Y$3=F4), 'Baza_OPS+kay'!$B$4:$Y$4, 0), 0)</f>
        <v>320</v>
      </c>
      <c r="J12" s="122"/>
      <c r="K12" s="128"/>
      <c r="L12" s="122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/>
      <c r="AP12" s="95"/>
      <c r="AQ12" s="95"/>
      <c r="AR12" s="95"/>
      <c r="AS12" s="95"/>
      <c r="AT12" s="95"/>
      <c r="AU12" s="95"/>
      <c r="AV12" s="95"/>
      <c r="AW12" s="95"/>
      <c r="AX12" s="95"/>
      <c r="AY12" s="95"/>
      <c r="AZ12" s="95"/>
      <c r="BA12" s="95"/>
      <c r="BB12" s="95"/>
      <c r="BC12" s="95"/>
      <c r="BD12" s="95"/>
      <c r="BE12" s="95"/>
      <c r="BF12" s="95"/>
      <c r="BG12" s="95"/>
      <c r="BH12" s="95"/>
      <c r="BI12" s="95"/>
      <c r="BJ12" s="95"/>
      <c r="BK12" s="95"/>
      <c r="BL12" s="95"/>
      <c r="BM12" s="95"/>
      <c r="BN12" s="95"/>
      <c r="BO12" s="95"/>
      <c r="BP12" s="95"/>
      <c r="BQ12" s="95"/>
      <c r="BR12" s="95"/>
      <c r="BS12" s="95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5"/>
      <c r="CG12" s="95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95"/>
      <c r="CW12" s="95"/>
      <c r="CX12" s="95"/>
      <c r="CY12" s="95"/>
      <c r="CZ12" s="95"/>
      <c r="DA12" s="95"/>
      <c r="DB12" s="95"/>
      <c r="DC12" s="95"/>
      <c r="DD12" s="95"/>
      <c r="DE12" s="95"/>
      <c r="DF12" s="95"/>
      <c r="DG12" s="95"/>
      <c r="DH12" s="95"/>
      <c r="DI12" s="95"/>
      <c r="DJ12" s="95"/>
      <c r="DK12" s="95"/>
      <c r="DL12" s="95"/>
      <c r="DM12" s="95"/>
      <c r="DN12" s="95"/>
      <c r="DO12" s="95"/>
      <c r="DP12" s="95"/>
      <c r="DQ12" s="95"/>
      <c r="DR12" s="95"/>
      <c r="DS12" s="95"/>
    </row>
    <row r="13" spans="1:123" ht="18" customHeight="1">
      <c r="A13" s="94"/>
      <c r="B13" s="44" t="s">
        <v>5</v>
      </c>
      <c r="C13" s="42" t="s">
        <v>279</v>
      </c>
      <c r="D13" s="40"/>
      <c r="E13" s="41" cm="1">
        <f t="array" ref="E13">IFERROR(IF(ISBLANK(INDEX(Baza_Maszty!A:ZZ, MATCH(C13, Baza_Maszty!A:A, 0), MATCH(1, (Baza_Maszty!$1:$1=C12)*(Baza_Maszty!$2:$2=F4), 0))), "BRAK DOSTĘPNEJ OPCJI", INDEX(Baza_Maszty!A:ZZ, MATCH(C13, Baza_Maszty!A:A, 0), MATCH(1, (Baza_Maszty!$1:$1=C12)*(Baza_Maszty!$2:$2=F4), 0))), "BRAK DOSTĘPNEJ OPCJI")</f>
        <v>1890</v>
      </c>
      <c r="F13" s="94"/>
      <c r="G13" s="112" t="s">
        <v>414</v>
      </c>
      <c r="H13" s="115" t="str" cm="1">
        <f t="array" ref="H13">IF(OR(C10="", F5="", F4=""), "", IF(ISBLANK(_xlfn.XLOOKUP(1, ('Baza_OPS+kay'!$B$1:$Y$1=C10)*('Baza_OPS+kay'!$B$2:$Y$2=F5)*('Baza_OPS+kay'!$B$3:$Y$3=F4), 'Baza_OPS+kay'!$B$12:$Y$12, "")), 'Baza_OPS+kay'!$A$13, 'Baza_OPS+kay'!$A$12))</f>
        <v>universal key</v>
      </c>
      <c r="I13" s="116" cm="1">
        <f t="array" ref="I13">IF(H13='Baza_OPS+kay'!$A$12, _xlfn.XLOOKUP(1, ('Baza_OPS+kay'!$B$1:$Y$1=C10)*('Baza_OPS+kay'!$B$2:$Y$2=F5)*('Baza_OPS+kay'!$B$3:$Y$3=F4), 'Baza_OPS+kay'!$B$12:$Y$12, 0), _xlfn.XLOOKUP(1, ('Baza_OPS+kay'!$B$1:$Y$1=C10)*('Baza_OPS+kay'!$B$2:$Y$2=F5)*('Baza_OPS+kay'!$B$3:$Y$3=F4), 'Baza_OPS+kay'!$B$13:$Y$13, 0))</f>
        <v>20</v>
      </c>
      <c r="J13" s="122"/>
      <c r="K13" s="128"/>
      <c r="L13" s="122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  <c r="AS13" s="95"/>
      <c r="AT13" s="95"/>
      <c r="AU13" s="95"/>
      <c r="AV13" s="95"/>
      <c r="AW13" s="95"/>
      <c r="AX13" s="95"/>
      <c r="AY13" s="95"/>
      <c r="AZ13" s="95"/>
      <c r="BA13" s="95"/>
      <c r="BB13" s="95"/>
      <c r="BC13" s="95"/>
      <c r="BD13" s="95"/>
      <c r="BE13" s="95"/>
      <c r="BF13" s="95"/>
      <c r="BG13" s="95"/>
      <c r="BH13" s="95"/>
      <c r="BI13" s="95"/>
      <c r="BJ13" s="95"/>
      <c r="BK13" s="95"/>
      <c r="BL13" s="95"/>
      <c r="BM13" s="95"/>
      <c r="BN13" s="95"/>
      <c r="BO13" s="95"/>
      <c r="BP13" s="95"/>
      <c r="BQ13" s="95"/>
      <c r="BR13" s="95"/>
      <c r="BS13" s="95"/>
      <c r="BT13" s="95"/>
      <c r="BU13" s="95"/>
      <c r="BV13" s="95"/>
      <c r="BW13" s="95"/>
      <c r="BX13" s="95"/>
      <c r="BY13" s="95"/>
      <c r="BZ13" s="95"/>
      <c r="CA13" s="95"/>
      <c r="CB13" s="95"/>
      <c r="CC13" s="95"/>
      <c r="CD13" s="95"/>
      <c r="CE13" s="95"/>
      <c r="CF13" s="95"/>
      <c r="CG13" s="95"/>
      <c r="CH13" s="95"/>
      <c r="CI13" s="95"/>
      <c r="CJ13" s="95"/>
      <c r="CK13" s="95"/>
      <c r="CL13" s="95"/>
      <c r="CM13" s="95"/>
      <c r="CN13" s="95"/>
      <c r="CO13" s="95"/>
      <c r="CP13" s="95"/>
      <c r="CQ13" s="95"/>
      <c r="CR13" s="95"/>
      <c r="CS13" s="95"/>
      <c r="CT13" s="95"/>
      <c r="CU13" s="95"/>
      <c r="CV13" s="95"/>
      <c r="CW13" s="95"/>
      <c r="CX13" s="95"/>
      <c r="CY13" s="95"/>
      <c r="CZ13" s="95"/>
      <c r="DA13" s="95"/>
      <c r="DB13" s="95"/>
      <c r="DC13" s="95"/>
      <c r="DD13" s="95"/>
      <c r="DE13" s="95"/>
      <c r="DF13" s="95"/>
      <c r="DG13" s="95"/>
      <c r="DH13" s="95"/>
      <c r="DI13" s="95"/>
      <c r="DJ13" s="95"/>
      <c r="DK13" s="95"/>
      <c r="DL13" s="95"/>
      <c r="DM13" s="95"/>
      <c r="DN13" s="95"/>
      <c r="DO13" s="95"/>
      <c r="DP13" s="95"/>
      <c r="DQ13" s="95"/>
      <c r="DR13" s="95"/>
      <c r="DS13" s="95"/>
    </row>
    <row r="14" spans="1:123" ht="18" customHeight="1">
      <c r="A14" s="94"/>
      <c r="B14" s="44" t="s">
        <v>6</v>
      </c>
      <c r="C14" s="42" t="s">
        <v>36</v>
      </c>
      <c r="D14" s="40"/>
      <c r="E14" s="41" cm="1">
        <f t="array" ref="E14">IFERROR(IF(ISBLANK(INDEX(Baza_Opony!A:ZZ, MATCH(C14, Baza_Opony!A:A, 0), MATCH(1, (Baza_Opony!$1:$1=C10)*(Baza_Opony!$2:$2=F5)*(Baza_Opony!$3:$3=F4), 0))), "BRAK DOSTĘPNEJ OPCJI", INDEX(Baza_Opony!A:ZZ, MATCH(C14, Baza_Opony!A:A, 0), MATCH(1, (Baza_Opony!$1:$1=C10)*(Baza_Opony!$2:$2=F5)*(Baza_Opony!$3:$3=F4), 0))), "BRAK DOSTĘPNEJ OPCJI")</f>
        <v>0</v>
      </c>
      <c r="F14" s="94"/>
      <c r="G14" s="111"/>
      <c r="H14" s="111"/>
      <c r="I14" s="111"/>
      <c r="J14" s="122"/>
      <c r="K14" s="128"/>
      <c r="L14" s="122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  <c r="AX14" s="95"/>
      <c r="AY14" s="95"/>
      <c r="AZ14" s="95"/>
      <c r="BA14" s="95"/>
      <c r="BB14" s="95"/>
      <c r="BC14" s="95"/>
      <c r="BD14" s="95"/>
      <c r="BE14" s="95"/>
      <c r="BF14" s="95"/>
      <c r="BG14" s="95"/>
      <c r="BH14" s="95"/>
      <c r="BI14" s="95"/>
      <c r="BJ14" s="95"/>
      <c r="BK14" s="95"/>
      <c r="BL14" s="95"/>
      <c r="BM14" s="95"/>
      <c r="BN14" s="95"/>
      <c r="BO14" s="95"/>
      <c r="BP14" s="95"/>
      <c r="BQ14" s="95"/>
      <c r="BR14" s="95"/>
      <c r="BS14" s="95"/>
      <c r="BT14" s="95"/>
      <c r="BU14" s="95"/>
      <c r="BV14" s="95"/>
      <c r="BW14" s="95"/>
      <c r="BX14" s="95"/>
      <c r="BY14" s="95"/>
      <c r="BZ14" s="95"/>
      <c r="CA14" s="95"/>
      <c r="CB14" s="95"/>
      <c r="CC14" s="95"/>
      <c r="CD14" s="95"/>
      <c r="CE14" s="95"/>
      <c r="CF14" s="95"/>
      <c r="CG14" s="95"/>
      <c r="CH14" s="95"/>
      <c r="CI14" s="95"/>
      <c r="CJ14" s="95"/>
      <c r="CK14" s="95"/>
      <c r="CL14" s="95"/>
      <c r="CM14" s="95"/>
      <c r="CN14" s="95"/>
      <c r="CO14" s="95"/>
      <c r="CP14" s="95"/>
      <c r="CQ14" s="95"/>
      <c r="CR14" s="95"/>
      <c r="CS14" s="95"/>
      <c r="CT14" s="95"/>
      <c r="CU14" s="95"/>
      <c r="CV14" s="95"/>
      <c r="CW14" s="95"/>
      <c r="CX14" s="95"/>
      <c r="CY14" s="95"/>
      <c r="CZ14" s="95"/>
      <c r="DA14" s="95"/>
      <c r="DB14" s="95"/>
      <c r="DC14" s="95"/>
      <c r="DD14" s="95"/>
      <c r="DE14" s="95"/>
      <c r="DF14" s="95"/>
      <c r="DG14" s="95"/>
      <c r="DH14" s="95"/>
      <c r="DI14" s="95"/>
      <c r="DJ14" s="95"/>
      <c r="DK14" s="95"/>
      <c r="DL14" s="95"/>
      <c r="DM14" s="95"/>
      <c r="DN14" s="95"/>
      <c r="DO14" s="95"/>
      <c r="DP14" s="95"/>
      <c r="DQ14" s="95"/>
      <c r="DR14" s="95"/>
      <c r="DS14" s="95"/>
    </row>
    <row r="15" spans="1:123" ht="18" customHeight="1">
      <c r="A15" s="94"/>
      <c r="B15" s="44" t="s">
        <v>7</v>
      </c>
      <c r="C15" s="42" t="s">
        <v>319</v>
      </c>
      <c r="D15" s="40"/>
      <c r="E15" s="41" cm="1">
        <f t="array" ref="E15">IFERROR(IF(ISBLANK(INDEX(Baza_Kabina!A:ZZ, MATCH(C15, Baza_Kabina!A:A, 0), MATCH(1, (Baza_Kabina!$1:$1=C10)*(Baza_Kabina!$2:$2=F5)*(Baza_Kabina!$3:$3=F4), 0))), "BRAK DOSTĘPNEJ OPCJI", INDEX(Baza_Kabina!A:ZZ, MATCH(C15, Baza_Kabina!A:A, 0), MATCH(1, (Baza_Kabina!$1:$1=C10)*(Baza_Kabina!$2:$2=F5)*(Baza_Kabina!$3:$3=F4), 0))), "BRAK DOSTĘPNEJ OPCJI")</f>
        <v>2040</v>
      </c>
      <c r="F15" s="94"/>
      <c r="G15" s="117" t="str">
        <f>IF(ISBLANK(C11), "", VLOOKUP(C11, Baza_Wozki!A:H, 8, FALSE))</f>
        <v>STANDARD</v>
      </c>
      <c r="H15" s="118" cm="1">
        <f t="array" ref="H15">IF(C11="", 0, _xlfn.XLOOKUP(1, (KAROL!$B$18:$AE$18=C10)*(KAROL!$B$19:$AE$19=F5)*(KAROL!$B$20:$AE$20=F4)*(KAROL!$B$21:$AE$21=G15), KAROL!$B$22:$AE$22, 0))</f>
        <v>0.22</v>
      </c>
      <c r="I15" s="119" cm="1">
        <f t="array" ref="I15">IF(C11="", 0, _xlfn.XLOOKUP(1, (KAROL!$B$10:$AE$10=C10)*(KAROL!$B$11:$AE$11=F5)*(KAROL!$B$12:$AE$12=F4)*(KAROL!$B$13:$AE$13=G15), KAROL!$B$14:$AE$14, 0))</f>
        <v>2800</v>
      </c>
      <c r="J15" s="122"/>
      <c r="K15" s="128"/>
      <c r="L15" s="122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P15" s="95"/>
      <c r="AQ15" s="95"/>
      <c r="AR15" s="95"/>
      <c r="AS15" s="95"/>
      <c r="AT15" s="95"/>
      <c r="AU15" s="95"/>
      <c r="AV15" s="95"/>
      <c r="AW15" s="95"/>
      <c r="AX15" s="95"/>
      <c r="AY15" s="95"/>
      <c r="AZ15" s="95"/>
      <c r="BA15" s="95"/>
      <c r="BB15" s="95"/>
      <c r="BC15" s="95"/>
      <c r="BD15" s="95"/>
      <c r="BE15" s="95"/>
      <c r="BF15" s="95"/>
      <c r="BG15" s="95"/>
      <c r="BH15" s="95"/>
      <c r="BI15" s="95"/>
      <c r="BJ15" s="95"/>
      <c r="BK15" s="95"/>
      <c r="BL15" s="95"/>
      <c r="BM15" s="95"/>
      <c r="BN15" s="95"/>
      <c r="BO15" s="95"/>
      <c r="BP15" s="95"/>
      <c r="BQ15" s="95"/>
      <c r="BR15" s="95"/>
      <c r="BS15" s="95"/>
      <c r="BT15" s="95"/>
      <c r="BU15" s="95"/>
      <c r="BV15" s="95"/>
      <c r="BW15" s="95"/>
      <c r="BX15" s="95"/>
      <c r="BY15" s="95"/>
      <c r="BZ15" s="95"/>
      <c r="CA15" s="95"/>
      <c r="CB15" s="95"/>
      <c r="CC15" s="95"/>
      <c r="CD15" s="95"/>
      <c r="CE15" s="95"/>
      <c r="CF15" s="95"/>
      <c r="CG15" s="95"/>
      <c r="CH15" s="95"/>
      <c r="CI15" s="95"/>
      <c r="CJ15" s="95"/>
      <c r="CK15" s="95"/>
      <c r="CL15" s="95"/>
      <c r="CM15" s="95"/>
      <c r="CN15" s="95"/>
      <c r="CO15" s="95"/>
      <c r="CP15" s="95"/>
      <c r="CQ15" s="95"/>
      <c r="CR15" s="95"/>
      <c r="CS15" s="95"/>
      <c r="CT15" s="95"/>
      <c r="CU15" s="95"/>
      <c r="CV15" s="95"/>
      <c r="CW15" s="95"/>
      <c r="CX15" s="95"/>
      <c r="CY15" s="95"/>
      <c r="CZ15" s="95"/>
      <c r="DA15" s="95"/>
      <c r="DB15" s="95"/>
      <c r="DC15" s="95"/>
      <c r="DD15" s="95"/>
      <c r="DE15" s="95"/>
      <c r="DF15" s="95"/>
      <c r="DG15" s="95"/>
      <c r="DH15" s="95"/>
      <c r="DI15" s="95"/>
      <c r="DJ15" s="95"/>
      <c r="DK15" s="95"/>
      <c r="DL15" s="95"/>
      <c r="DM15" s="95"/>
      <c r="DN15" s="95"/>
      <c r="DO15" s="95"/>
      <c r="DP15" s="95"/>
      <c r="DQ15" s="95"/>
      <c r="DR15" s="95"/>
      <c r="DS15" s="95"/>
    </row>
    <row r="16" spans="1:123" ht="18" customHeight="1">
      <c r="A16" s="94"/>
      <c r="B16" s="44" t="s">
        <v>8</v>
      </c>
      <c r="C16" s="42" t="s">
        <v>301</v>
      </c>
      <c r="D16" s="40"/>
      <c r="E16" s="41" cm="1">
        <f t="array" ref="E16">IFERROR(IF(ISBLANK(INDEX(Baza_Osprzęt!A:ZZ, MATCH(C16, Baza_Osprzęt!A:A, 0), MATCH(1, (Baza_Osprzęt!$1:$1=C10)*(Baza_Osprzęt!$2:$2=F5)*(Baza_Osprzęt!$3:$3=F4), 0))), "BRAK DOSTĘPNEJ OPCJI", INDEX(Baza_Osprzęt!A:ZZ, MATCH(C16, Baza_Osprzęt!A:A, 0), MATCH(1, (Baza_Osprzęt!$1:$1=C10)*(Baza_Osprzęt!$2:$2=F5)*(Baza_Osprzęt!$3:$3=F4), 0))), "BRAK DOSTĘPNEJ OPCJI")</f>
        <v>200</v>
      </c>
      <c r="F16" s="94"/>
      <c r="G16" s="117"/>
      <c r="H16" s="117">
        <f>IF(ISNUMBER(SEARCH("Spalinow", C10)), C7*C8, IF(ISNUMBER(SEARCH("Elektrycz", C10)), C6*C8, 0))</f>
        <v>1840</v>
      </c>
      <c r="I16" s="120">
        <f>SUM(E11:E23)+SUM(I10:I11)</f>
        <v>30420</v>
      </c>
      <c r="J16" s="122"/>
      <c r="K16" s="128"/>
      <c r="L16" s="122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P16" s="95"/>
      <c r="AQ16" s="95"/>
      <c r="AR16" s="95"/>
      <c r="AS16" s="95"/>
      <c r="AT16" s="95"/>
      <c r="AU16" s="95"/>
      <c r="AV16" s="95"/>
      <c r="AW16" s="95"/>
      <c r="AX16" s="95"/>
      <c r="AY16" s="95"/>
      <c r="AZ16" s="95"/>
      <c r="BA16" s="95"/>
      <c r="BB16" s="95"/>
      <c r="BC16" s="95"/>
      <c r="BD16" s="95"/>
      <c r="BE16" s="95"/>
      <c r="BF16" s="95"/>
      <c r="BG16" s="95"/>
      <c r="BH16" s="95"/>
      <c r="BI16" s="95"/>
      <c r="BJ16" s="95"/>
      <c r="BK16" s="95"/>
      <c r="BL16" s="95"/>
      <c r="BM16" s="95"/>
      <c r="BN16" s="95"/>
      <c r="BO16" s="95"/>
      <c r="BP16" s="95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/>
      <c r="CG16" s="95"/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95"/>
      <c r="CW16" s="95"/>
      <c r="CX16" s="95"/>
      <c r="CY16" s="95"/>
      <c r="CZ16" s="95"/>
      <c r="DA16" s="95"/>
      <c r="DB16" s="95"/>
      <c r="DC16" s="95"/>
      <c r="DD16" s="95"/>
      <c r="DE16" s="95"/>
      <c r="DF16" s="95"/>
      <c r="DG16" s="95"/>
      <c r="DH16" s="95"/>
      <c r="DI16" s="95"/>
      <c r="DJ16" s="95"/>
      <c r="DK16" s="95"/>
      <c r="DL16" s="95"/>
      <c r="DM16" s="95"/>
      <c r="DN16" s="95"/>
      <c r="DO16" s="95"/>
      <c r="DP16" s="95"/>
      <c r="DQ16" s="95"/>
      <c r="DR16" s="95"/>
      <c r="DS16" s="95"/>
    </row>
    <row r="17" spans="1:123" ht="18" customHeight="1">
      <c r="A17" s="94"/>
      <c r="B17" s="44" t="s">
        <v>404</v>
      </c>
      <c r="C17" s="42" t="s">
        <v>415</v>
      </c>
      <c r="D17" s="40"/>
      <c r="E17" s="41" cm="1">
        <f t="array" ref="E17">IFERROR(IF(ISBLANK(INDEX(Baza_Siedzisko!A:ZZ, MATCH(C17, Baza_Siedzisko!A:A, 0), MATCH(1, (Baza_Siedzisko!$1:$1=C10)*(Baza_Siedzisko!$2:$2=F5)*(Baza_Siedzisko!$3:$3=F4), 0))), "BRAK DOSTĘPNEJ OPCJI", INDEX(Baza_Siedzisko!A:ZZ, MATCH(C17, Baza_Siedzisko!A:A, 0), MATCH(1, (Baza_Siedzisko!$1:$1=C10)*(Baza_Siedzisko!$2:$2=F5)*(Baza_Siedzisko!$3:$3=F4), 0))), "BRAK DOSTĘPNEJ OPCJI")</f>
        <v>130</v>
      </c>
      <c r="F17" s="94"/>
      <c r="G17" s="88" t="s">
        <v>9</v>
      </c>
      <c r="H17" s="89"/>
      <c r="I17" s="90"/>
      <c r="J17" s="122"/>
      <c r="K17" s="128"/>
      <c r="L17" s="122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9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</row>
    <row r="18" spans="1:123" ht="18" customHeight="1">
      <c r="A18" s="94"/>
      <c r="B18" s="44" t="s">
        <v>405</v>
      </c>
      <c r="C18" s="42">
        <v>1200</v>
      </c>
      <c r="D18" s="40"/>
      <c r="E18" s="41" cm="1">
        <f t="array" ref="E18">IFERROR(IF(ISBLANK(INDEX(Baza_Widły!A:ZZ, MATCH(C18, Baza_Widły!A:A, 0), MATCH(1, (Baza_Widły!$1:$1=C10)*(Baza_Widły!$2:$2=F5)*(Baza_Widły!$3:$3=F4), 0))), "BRAK DOSTĘPNEJ OPCJI", INDEX(Baza_Widły!A:ZZ, MATCH(C18, Baza_Widły!A:A, 0), MATCH(1, (Baza_Widły!$1:$1=C10)*(Baza_Widły!$2:$2=F5)*(Baza_Widły!$3:$3=F4), 0))), "BRAK DOSTĘPNEJ OPCJI")</f>
        <v>50</v>
      </c>
      <c r="F18" s="94"/>
      <c r="G18" s="145" t="s">
        <v>10</v>
      </c>
      <c r="H18" s="146"/>
      <c r="I18" s="137">
        <f>IF(OR(ISBLANK(C5), ISBLANK(C6), ISBLANK(C7)), "uzupełnij wartości w ustawieniach", (((I16-(I16*H15)-I15+H16)*1.045)+(SUMIF(KAROL!$B$6:$H$6,F4,KAROL!$B$7:$H$7)))*C5+I22)</f>
        <v>106750.13959999998</v>
      </c>
      <c r="J18" s="122"/>
      <c r="K18" s="128"/>
      <c r="L18" s="122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  <c r="BJ18" s="95"/>
      <c r="BK18" s="95"/>
      <c r="BL18" s="95"/>
      <c r="BM18" s="95"/>
      <c r="BN18" s="95"/>
      <c r="BO18" s="95"/>
      <c r="BP18" s="95"/>
      <c r="BQ18" s="95"/>
      <c r="BR18" s="95"/>
      <c r="BS18" s="95"/>
      <c r="BT18" s="95"/>
      <c r="BU18" s="95"/>
      <c r="BV18" s="95"/>
      <c r="BW18" s="95"/>
      <c r="BX18" s="95"/>
      <c r="BY18" s="95"/>
      <c r="BZ18" s="95"/>
      <c r="CA18" s="95"/>
      <c r="CB18" s="95"/>
      <c r="CC18" s="95"/>
      <c r="CD18" s="95"/>
      <c r="CE18" s="95"/>
      <c r="CF18" s="95"/>
      <c r="CG18" s="95"/>
      <c r="CH18" s="95"/>
      <c r="CI18" s="95"/>
      <c r="CJ18" s="95"/>
      <c r="CK18" s="95"/>
      <c r="CL18" s="95"/>
      <c r="CM18" s="95"/>
      <c r="CN18" s="95"/>
      <c r="CO18" s="95"/>
      <c r="CP18" s="95"/>
      <c r="CQ18" s="95"/>
      <c r="CR18" s="95"/>
      <c r="CS18" s="95"/>
      <c r="CT18" s="95"/>
      <c r="CU18" s="95"/>
      <c r="CV18" s="95"/>
      <c r="CW18" s="95"/>
      <c r="CX18" s="95"/>
      <c r="CY18" s="95"/>
      <c r="CZ18" s="95"/>
      <c r="DA18" s="95"/>
      <c r="DB18" s="95"/>
      <c r="DC18" s="95"/>
      <c r="DD18" s="95"/>
      <c r="DE18" s="95"/>
      <c r="DF18" s="95"/>
      <c r="DG18" s="95"/>
      <c r="DH18" s="95"/>
      <c r="DI18" s="95"/>
      <c r="DJ18" s="95"/>
      <c r="DK18" s="95"/>
      <c r="DL18" s="95"/>
      <c r="DM18" s="95"/>
      <c r="DN18" s="95"/>
      <c r="DO18" s="95"/>
      <c r="DP18" s="95"/>
      <c r="DQ18" s="95"/>
      <c r="DR18" s="95"/>
      <c r="DS18" s="95"/>
    </row>
    <row r="19" spans="1:123" ht="18" customHeight="1">
      <c r="A19" s="94"/>
      <c r="B19" s="44" t="s">
        <v>439</v>
      </c>
      <c r="C19" s="42" t="s">
        <v>435</v>
      </c>
      <c r="D19" s="40"/>
      <c r="E19" s="41" cm="1">
        <f t="array" ref="E19">IFERROR(IF(ISBLANK(INDEX(Baza_oświetlenie!A:ZZ, MATCH(C19, Baza_oświetlenie!A:A, 0), MATCH(1, (Baza_oświetlenie!$1:$1=C10)*(Baza_oświetlenie!$2:$2=F5)*(Baza_oświetlenie!$3:$3=F4), 0))), "BRAK DOSTĘPNEJ OPCJI", INDEX(Baza_oświetlenie!A:ZZ, MATCH(C19, Baza_oświetlenie!A:A, 0), MATCH(1, (Baza_oświetlenie!$1:$1=C10)*(Baza_oświetlenie!$2:$2=F5)*(Baza_oświetlenie!$3:$3=F4), 0))), "BRAK DOSTĘPNEJ OPCJI")</f>
        <v>180</v>
      </c>
      <c r="F19" s="94"/>
      <c r="G19" s="147"/>
      <c r="H19" s="148"/>
      <c r="I19" s="137"/>
      <c r="J19" s="122"/>
      <c r="K19" s="128"/>
      <c r="L19" s="122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  <c r="AF19" s="95"/>
      <c r="AG19" s="95"/>
      <c r="AH19" s="95"/>
      <c r="AI19" s="95"/>
      <c r="AJ19" s="95"/>
      <c r="AK19" s="95"/>
      <c r="AL19" s="95"/>
      <c r="AM19" s="95"/>
      <c r="AN19" s="95"/>
      <c r="AO19" s="95"/>
      <c r="AP19" s="95"/>
      <c r="AQ19" s="95"/>
      <c r="AR19" s="95"/>
      <c r="AS19" s="95"/>
      <c r="AT19" s="95"/>
      <c r="AU19" s="95"/>
      <c r="AV19" s="95"/>
      <c r="AW19" s="95"/>
      <c r="AX19" s="95"/>
      <c r="AY19" s="95"/>
      <c r="AZ19" s="95"/>
      <c r="BA19" s="95"/>
      <c r="BB19" s="95"/>
      <c r="BC19" s="95"/>
      <c r="BD19" s="95"/>
      <c r="BE19" s="95"/>
      <c r="BF19" s="95"/>
      <c r="BG19" s="95"/>
      <c r="BH19" s="95"/>
      <c r="BI19" s="95"/>
      <c r="BJ19" s="95"/>
      <c r="BK19" s="95"/>
      <c r="BL19" s="95"/>
      <c r="BM19" s="95"/>
      <c r="BN19" s="95"/>
      <c r="BO19" s="95"/>
      <c r="BP19" s="95"/>
      <c r="BQ19" s="95"/>
      <c r="BR19" s="95"/>
      <c r="BS19" s="95"/>
      <c r="BT19" s="95"/>
      <c r="BU19" s="95"/>
      <c r="BV19" s="95"/>
      <c r="BW19" s="95"/>
      <c r="BX19" s="95"/>
      <c r="BY19" s="95"/>
      <c r="BZ19" s="95"/>
      <c r="CA19" s="95"/>
      <c r="CB19" s="95"/>
      <c r="CC19" s="95"/>
      <c r="CD19" s="95"/>
      <c r="CE19" s="95"/>
      <c r="CF19" s="95"/>
      <c r="CG19" s="95"/>
      <c r="CH19" s="95"/>
      <c r="CI19" s="95"/>
      <c r="CJ19" s="95"/>
      <c r="CK19" s="95"/>
      <c r="CL19" s="95"/>
      <c r="CM19" s="95"/>
      <c r="CN19" s="95"/>
      <c r="CO19" s="95"/>
      <c r="CP19" s="95"/>
      <c r="CQ19" s="95"/>
      <c r="CR19" s="95"/>
      <c r="CS19" s="95"/>
      <c r="CT19" s="95"/>
      <c r="CU19" s="95"/>
      <c r="CV19" s="95"/>
      <c r="CW19" s="95"/>
      <c r="CX19" s="95"/>
      <c r="CY19" s="95"/>
      <c r="CZ19" s="95"/>
      <c r="DA19" s="95"/>
      <c r="DB19" s="95"/>
      <c r="DC19" s="95"/>
      <c r="DD19" s="95"/>
      <c r="DE19" s="95"/>
      <c r="DF19" s="95"/>
      <c r="DG19" s="95"/>
      <c r="DH19" s="95"/>
      <c r="DI19" s="95"/>
      <c r="DJ19" s="95"/>
      <c r="DK19" s="95"/>
      <c r="DL19" s="95"/>
      <c r="DM19" s="95"/>
      <c r="DN19" s="95"/>
      <c r="DO19" s="95"/>
      <c r="DP19" s="95"/>
      <c r="DQ19" s="95"/>
      <c r="DR19" s="95"/>
      <c r="DS19" s="95"/>
    </row>
    <row r="20" spans="1:123" ht="18" customHeight="1">
      <c r="A20" s="94"/>
      <c r="B20" s="44" t="s">
        <v>406</v>
      </c>
      <c r="C20" s="42" t="s">
        <v>377</v>
      </c>
      <c r="D20" s="40"/>
      <c r="E20" s="41" cm="1">
        <f t="array" ref="E20">IF(ISNUMBER(SEARCH("Spalinow", C10)), "", IFERROR(IF(ISBLANK(INDEX(Baza_Bateria!A:ZZ, MATCH(C20, Baza_Bateria!A:A, 0), MATCH(1, (Baza_Bateria!$A$1:$ZZ$1=C10)*(Baza_Bateria!$A$2:$ZZ$2=F5)*(Baza_Bateria!$A$3:$ZZ$3=F4), 0))), "BRAK DOSTĘPNEJ OPCJI", INDEX(Baza_Bateria!A:ZZ, MATCH(C20, Baza_Bateria!A:A, 0), MATCH(1, (Baza_Bateria!$A$1:$ZZ$1=C10)*(Baza_Bateria!$A$2:$ZZ$2=F5)*(Baza_Bateria!$A$3:$ZZ$3=F4), 0))), "BRAK DOSTĘPNEJ OPCJI"))</f>
        <v>2000</v>
      </c>
      <c r="F20" s="94"/>
      <c r="G20" s="147"/>
      <c r="H20" s="148"/>
      <c r="I20" s="137"/>
      <c r="J20" s="122"/>
      <c r="K20" s="128"/>
      <c r="L20" s="122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  <c r="AC20" s="95"/>
      <c r="AD20" s="95"/>
      <c r="AE20" s="95"/>
      <c r="AF20" s="95"/>
      <c r="AG20" s="95"/>
      <c r="AH20" s="95"/>
      <c r="AI20" s="95"/>
      <c r="AJ20" s="95"/>
      <c r="AK20" s="95"/>
      <c r="AL20" s="95"/>
      <c r="AM20" s="95"/>
      <c r="AN20" s="95"/>
      <c r="AO20" s="95"/>
      <c r="AP20" s="95"/>
      <c r="AQ20" s="95"/>
      <c r="AR20" s="95"/>
      <c r="AS20" s="95"/>
      <c r="AT20" s="95"/>
      <c r="AU20" s="95"/>
      <c r="AV20" s="95"/>
      <c r="AW20" s="95"/>
      <c r="AX20" s="95"/>
      <c r="AY20" s="95"/>
      <c r="AZ20" s="95"/>
      <c r="BA20" s="95"/>
      <c r="BB20" s="95"/>
      <c r="BC20" s="95"/>
      <c r="BD20" s="95"/>
      <c r="BE20" s="95"/>
      <c r="BF20" s="95"/>
      <c r="BG20" s="95"/>
      <c r="BH20" s="95"/>
      <c r="BI20" s="95"/>
      <c r="BJ20" s="95"/>
      <c r="BK20" s="95"/>
      <c r="BL20" s="95"/>
      <c r="BM20" s="95"/>
      <c r="BN20" s="95"/>
      <c r="BO20" s="95"/>
      <c r="BP20" s="95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95"/>
      <c r="CW20" s="95"/>
      <c r="CX20" s="95"/>
      <c r="CY20" s="95"/>
      <c r="CZ20" s="95"/>
      <c r="DA20" s="95"/>
      <c r="DB20" s="95"/>
      <c r="DC20" s="95"/>
      <c r="DD20" s="95"/>
      <c r="DE20" s="95"/>
      <c r="DF20" s="95"/>
      <c r="DG20" s="95"/>
      <c r="DH20" s="95"/>
      <c r="DI20" s="95"/>
      <c r="DJ20" s="95"/>
      <c r="DK20" s="95"/>
      <c r="DL20" s="95"/>
      <c r="DM20" s="95"/>
      <c r="DN20" s="95"/>
      <c r="DO20" s="95"/>
      <c r="DP20" s="95"/>
      <c r="DQ20" s="95"/>
      <c r="DR20" s="95"/>
      <c r="DS20" s="95"/>
    </row>
    <row r="21" spans="1:123" ht="18" customHeight="1">
      <c r="A21" s="94"/>
      <c r="B21" s="44" t="s">
        <v>407</v>
      </c>
      <c r="C21" s="73" t="s">
        <v>394</v>
      </c>
      <c r="D21" s="74"/>
      <c r="E21" s="41" cm="1">
        <f t="array" ref="E21">IF(ISNUMBER(SEARCH("Spalinow", C10)), "", IFERROR(IF(ISBLANK(INDEX(Baza_Ładowarka!A:ZZ, MATCH(C21, Baza_Ładowarka!A:A, 0), MATCH(1, (Baza_Ładowarka!$A$1:$ZZ$1=C10)*(Baza_Ładowarka!$A$2:$ZZ$2=F5)*(Baza_Ładowarka!$A$3:$ZZ$3=F4), 0))), "BRAK DOSTĘPNEJ OPCJI", INDEX(Baza_Ładowarka!A:ZZ, MATCH(C21, Baza_Ładowarka!A:A, 0), MATCH(1, (Baza_Ładowarka!$A$1:$ZZ$1=C10)*(Baza_Ładowarka!$A$2:$ZZ$2=F5)*(Baza_Ładowarka!$A$3:$ZZ$3=F4), 0))), "BRAK DOSTĘPNEJ OPCJI"))</f>
        <v>1390</v>
      </c>
      <c r="F21" s="94"/>
      <c r="G21" s="149" t="s">
        <v>430</v>
      </c>
      <c r="H21" s="150"/>
      <c r="I21" s="137"/>
      <c r="J21" s="122"/>
      <c r="K21" s="128"/>
      <c r="L21" s="122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  <c r="BG21" s="95"/>
      <c r="BH21" s="95"/>
      <c r="BI21" s="95"/>
      <c r="BJ21" s="95"/>
      <c r="BK21" s="95"/>
      <c r="BL21" s="95"/>
      <c r="BM21" s="95"/>
      <c r="BN21" s="95"/>
      <c r="BO21" s="95"/>
      <c r="BP21" s="95"/>
      <c r="BQ21" s="95"/>
      <c r="BR21" s="95"/>
      <c r="BS21" s="95"/>
      <c r="BT21" s="95"/>
      <c r="BU21" s="95"/>
      <c r="BV21" s="95"/>
      <c r="BW21" s="95"/>
      <c r="BX21" s="95"/>
      <c r="BY21" s="95"/>
      <c r="BZ21" s="95"/>
      <c r="CA21" s="95"/>
      <c r="CB21" s="95"/>
      <c r="CC21" s="95"/>
      <c r="CD21" s="95"/>
      <c r="CE21" s="95"/>
      <c r="CF21" s="95"/>
      <c r="CG21" s="95"/>
      <c r="CH21" s="95"/>
      <c r="CI21" s="95"/>
      <c r="CJ21" s="95"/>
      <c r="CK21" s="95"/>
      <c r="CL21" s="95"/>
      <c r="CM21" s="95"/>
      <c r="CN21" s="95"/>
      <c r="CO21" s="95"/>
      <c r="CP21" s="95"/>
      <c r="CQ21" s="95"/>
      <c r="CR21" s="95"/>
      <c r="CS21" s="95"/>
      <c r="CT21" s="95"/>
      <c r="CU21" s="95"/>
      <c r="CV21" s="95"/>
      <c r="CW21" s="95"/>
      <c r="CX21" s="95"/>
      <c r="CY21" s="95"/>
      <c r="CZ21" s="95"/>
      <c r="DA21" s="95"/>
      <c r="DB21" s="95"/>
      <c r="DC21" s="95"/>
      <c r="DD21" s="95"/>
      <c r="DE21" s="95"/>
      <c r="DF21" s="95"/>
      <c r="DG21" s="95"/>
      <c r="DH21" s="95"/>
      <c r="DI21" s="95"/>
      <c r="DJ21" s="95"/>
      <c r="DK21" s="95"/>
      <c r="DL21" s="95"/>
      <c r="DM21" s="95"/>
      <c r="DN21" s="95"/>
      <c r="DO21" s="95"/>
      <c r="DP21" s="95"/>
      <c r="DQ21" s="95"/>
      <c r="DR21" s="95"/>
      <c r="DS21" s="95"/>
    </row>
    <row r="22" spans="1:123" ht="18" customHeight="1">
      <c r="A22" s="94"/>
      <c r="B22" s="72" t="s">
        <v>413</v>
      </c>
      <c r="C22" s="127" t="s">
        <v>420</v>
      </c>
      <c r="D22" s="126"/>
      <c r="E22" s="41" cm="1">
        <f t="array" ref="E22">IF(H12="TAK", _xlfn.XLOOKUP(1, ('Baza_OPS+kay'!$B$1:$Y$1=C10)*('Baza_OPS+kay'!$B$2:$Y$2=F5)*('Baza_OPS+kay'!$B$3:$Y$3=F4), 'Baza_OPS+kay'!$B$4:$Y$4, 0), 0)</f>
        <v>320</v>
      </c>
      <c r="F22" s="94"/>
      <c r="G22" s="131" t="s">
        <v>432</v>
      </c>
      <c r="H22" s="132"/>
      <c r="I22" s="92">
        <v>0</v>
      </c>
      <c r="J22" s="122"/>
      <c r="K22" s="128"/>
      <c r="L22" s="122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  <c r="AC22" s="95"/>
      <c r="AD22" s="95"/>
      <c r="AE22" s="95"/>
      <c r="AF22" s="95"/>
      <c r="AG22" s="95"/>
      <c r="AH22" s="95"/>
      <c r="AI22" s="95"/>
      <c r="AJ22" s="95"/>
      <c r="AK22" s="95"/>
      <c r="AL22" s="95"/>
      <c r="AM22" s="95"/>
      <c r="AN22" s="95"/>
      <c r="AO22" s="95"/>
      <c r="AP22" s="95"/>
      <c r="AQ22" s="95"/>
      <c r="AR22" s="95"/>
      <c r="AS22" s="95"/>
      <c r="AT22" s="95"/>
      <c r="AU22" s="95"/>
      <c r="AV22" s="95"/>
      <c r="AW22" s="95"/>
      <c r="AX22" s="95"/>
      <c r="AY22" s="95"/>
      <c r="AZ22" s="95"/>
      <c r="BA22" s="95"/>
      <c r="BB22" s="95"/>
      <c r="BC22" s="95"/>
      <c r="BD22" s="95"/>
      <c r="BE22" s="95"/>
      <c r="BF22" s="95"/>
      <c r="BG22" s="95"/>
      <c r="BH22" s="95"/>
      <c r="BI22" s="95"/>
      <c r="BJ22" s="95"/>
      <c r="BK22" s="95"/>
      <c r="BL22" s="95"/>
      <c r="BM22" s="95"/>
      <c r="BN22" s="95"/>
      <c r="BO22" s="95"/>
      <c r="BP22" s="95"/>
      <c r="BQ22" s="95"/>
      <c r="BR22" s="95"/>
      <c r="BS22" s="95"/>
      <c r="BT22" s="95"/>
      <c r="BU22" s="95"/>
      <c r="BV22" s="95"/>
      <c r="BW22" s="95"/>
      <c r="BX22" s="95"/>
      <c r="BY22" s="95"/>
      <c r="BZ22" s="95"/>
      <c r="CA22" s="95"/>
      <c r="CB22" s="95"/>
      <c r="CC22" s="95"/>
      <c r="CD22" s="95"/>
      <c r="CE22" s="95"/>
      <c r="CF22" s="95"/>
      <c r="CG22" s="95"/>
      <c r="CH22" s="95"/>
      <c r="CI22" s="95"/>
      <c r="CJ22" s="95"/>
      <c r="CK22" s="95"/>
      <c r="CL22" s="95"/>
      <c r="CM22" s="95"/>
      <c r="CN22" s="95"/>
      <c r="CO22" s="95"/>
      <c r="CP22" s="95"/>
      <c r="CQ22" s="95"/>
      <c r="CR22" s="95"/>
      <c r="CS22" s="95"/>
      <c r="CT22" s="95"/>
      <c r="CU22" s="95"/>
      <c r="CV22" s="95"/>
      <c r="CW22" s="95"/>
      <c r="CX22" s="95"/>
      <c r="CY22" s="95"/>
      <c r="CZ22" s="95"/>
      <c r="DA22" s="95"/>
      <c r="DB22" s="95"/>
      <c r="DC22" s="95"/>
      <c r="DD22" s="95"/>
      <c r="DE22" s="95"/>
      <c r="DF22" s="95"/>
      <c r="DG22" s="95"/>
      <c r="DH22" s="95"/>
      <c r="DI22" s="95"/>
      <c r="DJ22" s="95"/>
      <c r="DK22" s="95"/>
      <c r="DL22" s="95"/>
      <c r="DM22" s="95"/>
      <c r="DN22" s="95"/>
      <c r="DO22" s="95"/>
      <c r="DP22" s="95"/>
      <c r="DQ22" s="95"/>
      <c r="DR22" s="95"/>
      <c r="DS22" s="95"/>
    </row>
    <row r="23" spans="1:123" ht="15.6">
      <c r="A23" s="94"/>
      <c r="B23" s="72" t="s">
        <v>414</v>
      </c>
      <c r="C23" s="124" t="str">
        <f>H13</f>
        <v>universal key</v>
      </c>
      <c r="D23" s="125"/>
      <c r="E23" s="41" cm="1">
        <f t="array" ref="E23">IF(H13='Baza_OPS+kay'!$A$12, _xlfn.XLOOKUP(1, ('Baza_OPS+kay'!$B$1:$Y$1=C10)*('Baza_OPS+kay'!$B$2:$Y$2=F5)*('Baza_OPS+kay'!$B$3:$Y$3=F4), 'Baza_OPS+kay'!$B$12:$Y$12, 0), _xlfn.XLOOKUP(1, ('Baza_OPS+kay'!$B$1:$Y$1=C10)*('Baza_OPS+kay'!$B$2:$Y$2=F5)*('Baza_OPS+kay'!$B$3:$Y$3=F4), 'Baza_OPS+kay'!$B$13:$Y$13, 0))</f>
        <v>20</v>
      </c>
      <c r="F23" s="94"/>
      <c r="G23" s="129" t="s">
        <v>431</v>
      </c>
      <c r="H23" s="130"/>
      <c r="I23" s="93">
        <f>I18/C5</f>
        <v>28092.141999999996</v>
      </c>
      <c r="J23" s="122"/>
      <c r="K23" s="128"/>
      <c r="L23" s="122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  <c r="AC23" s="95"/>
      <c r="AD23" s="95"/>
      <c r="AE23" s="95"/>
      <c r="AF23" s="95"/>
      <c r="AG23" s="95"/>
      <c r="AH23" s="95"/>
      <c r="AI23" s="95"/>
      <c r="AJ23" s="95"/>
      <c r="AK23" s="95"/>
      <c r="AL23" s="95"/>
      <c r="AM23" s="95"/>
      <c r="AN23" s="95"/>
      <c r="AO23" s="95"/>
      <c r="AP23" s="95"/>
      <c r="AQ23" s="95"/>
      <c r="AR23" s="95"/>
      <c r="AS23" s="95"/>
      <c r="AT23" s="95"/>
      <c r="AU23" s="95"/>
      <c r="AV23" s="95"/>
      <c r="AW23" s="95"/>
      <c r="AX23" s="95"/>
      <c r="AY23" s="95"/>
      <c r="AZ23" s="95"/>
      <c r="BA23" s="95"/>
      <c r="BB23" s="95"/>
      <c r="BC23" s="95"/>
      <c r="BD23" s="95"/>
      <c r="BE23" s="95"/>
      <c r="BF23" s="95"/>
      <c r="BG23" s="95"/>
      <c r="BH23" s="95"/>
      <c r="BI23" s="95"/>
      <c r="BJ23" s="95"/>
      <c r="BK23" s="95"/>
      <c r="BL23" s="95"/>
      <c r="BM23" s="95"/>
      <c r="BN23" s="95"/>
      <c r="BO23" s="95"/>
      <c r="BP23" s="95"/>
      <c r="BQ23" s="95"/>
      <c r="BR23" s="95"/>
      <c r="BS23" s="95"/>
      <c r="BT23" s="95"/>
      <c r="BU23" s="95"/>
      <c r="BV23" s="95"/>
      <c r="BW23" s="95"/>
      <c r="BX23" s="95"/>
      <c r="BY23" s="95"/>
      <c r="BZ23" s="95"/>
      <c r="CA23" s="95"/>
      <c r="CB23" s="95"/>
      <c r="CC23" s="95"/>
      <c r="CD23" s="95"/>
      <c r="CE23" s="95"/>
      <c r="CF23" s="95"/>
      <c r="CG23" s="95"/>
      <c r="CH23" s="95"/>
      <c r="CI23" s="95"/>
      <c r="CJ23" s="95"/>
      <c r="CK23" s="95"/>
      <c r="CL23" s="95"/>
      <c r="CM23" s="95"/>
      <c r="CN23" s="95"/>
      <c r="CO23" s="95"/>
      <c r="CP23" s="95"/>
      <c r="CQ23" s="95"/>
      <c r="CR23" s="95"/>
      <c r="CS23" s="95"/>
      <c r="CT23" s="95"/>
      <c r="CU23" s="95"/>
      <c r="CV23" s="95"/>
      <c r="CW23" s="95"/>
      <c r="CX23" s="95"/>
      <c r="CY23" s="95"/>
      <c r="CZ23" s="95"/>
      <c r="DA23" s="95"/>
      <c r="DB23" s="95"/>
      <c r="DC23" s="95"/>
      <c r="DD23" s="95"/>
      <c r="DE23" s="95"/>
      <c r="DF23" s="95"/>
      <c r="DG23" s="95"/>
      <c r="DH23" s="95"/>
      <c r="DI23" s="95"/>
      <c r="DJ23" s="95"/>
      <c r="DK23" s="95"/>
      <c r="DL23" s="95"/>
      <c r="DM23" s="95"/>
      <c r="DN23" s="95"/>
      <c r="DO23" s="95"/>
      <c r="DP23" s="95"/>
      <c r="DQ23" s="95"/>
      <c r="DR23" s="95"/>
      <c r="DS23" s="95"/>
    </row>
    <row r="24" spans="1:123" s="95" customFormat="1">
      <c r="A24" s="94"/>
      <c r="C24" s="94"/>
      <c r="D24" s="94"/>
      <c r="E24" s="97"/>
      <c r="F24" s="94"/>
      <c r="K24" s="128"/>
    </row>
    <row r="25" spans="1:123" s="95" customFormat="1">
      <c r="A25" s="94"/>
      <c r="B25" s="94"/>
      <c r="C25" s="94"/>
      <c r="D25" s="94"/>
      <c r="E25" s="97"/>
      <c r="F25" s="94"/>
      <c r="K25" s="128"/>
    </row>
    <row r="26" spans="1:123" s="95" customFormat="1" ht="15.6">
      <c r="A26" s="94"/>
      <c r="B26" s="102"/>
      <c r="C26" s="103"/>
      <c r="D26" s="103"/>
      <c r="E26" s="97"/>
      <c r="F26" s="94"/>
      <c r="K26" s="128"/>
    </row>
    <row r="27" spans="1:123" s="95" customFormat="1" ht="15.6">
      <c r="A27" s="94"/>
      <c r="B27" s="102"/>
      <c r="C27" s="104"/>
      <c r="D27" s="104"/>
      <c r="E27" s="97"/>
      <c r="F27" s="94"/>
      <c r="G27" s="94"/>
      <c r="H27" s="94"/>
      <c r="I27" s="94"/>
      <c r="K27" s="128"/>
    </row>
    <row r="28" spans="1:123" s="95" customFormat="1">
      <c r="A28" s="94"/>
      <c r="B28" s="94"/>
      <c r="C28" s="94"/>
      <c r="D28" s="94"/>
      <c r="E28" s="97"/>
      <c r="F28" s="94"/>
      <c r="G28" s="94"/>
      <c r="H28" s="94"/>
      <c r="I28" s="94"/>
      <c r="K28" s="128"/>
    </row>
    <row r="29" spans="1:123" s="95" customFormat="1" ht="45.6" customHeight="1">
      <c r="A29" s="94"/>
      <c r="D29" s="105"/>
      <c r="E29" s="96"/>
      <c r="F29" s="101"/>
      <c r="G29" s="94"/>
      <c r="H29" s="94"/>
      <c r="I29" s="94"/>
      <c r="K29" s="128"/>
    </row>
    <row r="30" spans="1:123" s="95" customFormat="1">
      <c r="A30" s="94"/>
      <c r="B30" s="101"/>
      <c r="C30" s="101"/>
      <c r="D30" s="101"/>
      <c r="E30" s="106"/>
      <c r="F30" s="101"/>
      <c r="G30" s="94"/>
      <c r="H30" s="94"/>
      <c r="I30" s="94"/>
      <c r="K30" s="128"/>
    </row>
    <row r="31" spans="1:123" s="95" customFormat="1">
      <c r="A31" s="94"/>
      <c r="B31" s="101"/>
      <c r="C31" s="101"/>
      <c r="D31" s="101"/>
      <c r="E31" s="106"/>
      <c r="F31" s="101"/>
      <c r="G31" s="94"/>
      <c r="H31" s="94"/>
      <c r="I31" s="94"/>
      <c r="K31" s="128"/>
    </row>
    <row r="32" spans="1:123" s="95" customFormat="1">
      <c r="A32" s="94"/>
      <c r="B32" s="94"/>
      <c r="C32" s="94"/>
      <c r="D32" s="94"/>
      <c r="E32" s="97"/>
      <c r="F32" s="94"/>
      <c r="G32" s="94"/>
      <c r="H32" s="94"/>
      <c r="I32" s="94"/>
      <c r="K32" s="123"/>
    </row>
    <row r="33" spans="1:11" s="95" customFormat="1" ht="31.2" customHeight="1">
      <c r="A33" s="94"/>
      <c r="B33" s="94"/>
      <c r="C33" s="94"/>
      <c r="D33" s="94"/>
      <c r="E33" s="97"/>
      <c r="F33" s="94"/>
      <c r="G33" s="94"/>
      <c r="H33" s="94"/>
      <c r="I33" s="94"/>
      <c r="K33" s="123"/>
    </row>
    <row r="34" spans="1:11" s="95" customFormat="1" hidden="1">
      <c r="A34" s="94"/>
      <c r="B34" s="94"/>
      <c r="C34" s="94"/>
      <c r="D34" s="94"/>
      <c r="E34" s="97"/>
      <c r="F34" s="94"/>
      <c r="G34" s="94"/>
      <c r="H34" s="94"/>
      <c r="I34" s="94"/>
      <c r="K34" s="123"/>
    </row>
    <row r="35" spans="1:11" s="95" customFormat="1" hidden="1">
      <c r="A35" s="94"/>
      <c r="B35" s="94"/>
      <c r="C35" s="94"/>
      <c r="D35" s="94"/>
      <c r="E35" s="97"/>
      <c r="F35" s="94"/>
      <c r="G35" s="94"/>
      <c r="H35" s="94"/>
      <c r="I35" s="94"/>
    </row>
    <row r="36" spans="1:11" s="95" customFormat="1" hidden="1">
      <c r="A36" s="94"/>
      <c r="B36" s="94"/>
      <c r="C36" s="94"/>
      <c r="D36" s="94"/>
      <c r="E36" s="97"/>
      <c r="F36" s="94"/>
      <c r="G36" s="94"/>
      <c r="H36" s="94"/>
      <c r="I36" s="94"/>
    </row>
    <row r="37" spans="1:11" s="95" customFormat="1" hidden="1">
      <c r="A37" s="94"/>
      <c r="B37" s="94"/>
      <c r="C37" s="94"/>
      <c r="D37" s="94"/>
      <c r="E37" s="97"/>
      <c r="F37" s="94"/>
      <c r="G37" s="94"/>
      <c r="H37" s="94"/>
      <c r="I37" s="94"/>
    </row>
    <row r="38" spans="1:11" s="95" customFormat="1" hidden="1">
      <c r="A38" s="94"/>
      <c r="B38" s="94"/>
      <c r="C38" s="94"/>
      <c r="D38" s="94"/>
      <c r="E38" s="97"/>
      <c r="F38" s="94"/>
      <c r="G38" s="94"/>
      <c r="H38" s="94"/>
      <c r="I38" s="94"/>
    </row>
    <row r="39" spans="1:11" s="95" customFormat="1" hidden="1">
      <c r="A39" s="94"/>
      <c r="B39" s="94"/>
      <c r="C39" s="94"/>
      <c r="D39" s="94"/>
      <c r="E39" s="97"/>
      <c r="F39" s="94"/>
      <c r="G39" s="94"/>
      <c r="H39" s="94"/>
      <c r="I39" s="94"/>
    </row>
    <row r="40" spans="1:11" s="95" customFormat="1" hidden="1">
      <c r="A40" s="94"/>
      <c r="B40" s="94"/>
      <c r="C40" s="94"/>
      <c r="D40" s="94"/>
      <c r="E40" s="97"/>
      <c r="F40" s="94"/>
      <c r="G40" s="94"/>
      <c r="H40" s="94"/>
      <c r="I40" s="94"/>
    </row>
    <row r="41" spans="1:11" s="95" customFormat="1" hidden="1">
      <c r="A41" s="94"/>
      <c r="B41" s="94"/>
      <c r="C41" s="94"/>
      <c r="D41" s="94"/>
      <c r="E41" s="97"/>
      <c r="F41" s="94"/>
      <c r="G41" s="94"/>
      <c r="H41" s="94"/>
      <c r="I41" s="94"/>
    </row>
    <row r="42" spans="1:11" s="95" customFormat="1" hidden="1">
      <c r="E42" s="96"/>
    </row>
    <row r="43" spans="1:11" s="95" customFormat="1" hidden="1">
      <c r="E43" s="96"/>
    </row>
    <row r="44" spans="1:11" s="95" customFormat="1" hidden="1">
      <c r="E44" s="96"/>
    </row>
    <row r="45" spans="1:11" s="95" customFormat="1" hidden="1">
      <c r="E45" s="96"/>
    </row>
    <row r="46" spans="1:11" s="95" customFormat="1" hidden="1">
      <c r="E46" s="96"/>
    </row>
    <row r="47" spans="1:11" s="95" customFormat="1" hidden="1">
      <c r="E47" s="96"/>
    </row>
    <row r="48" spans="1:11" s="95" customFormat="1" hidden="1">
      <c r="E48" s="96"/>
    </row>
    <row r="49" spans="5:5" s="95" customFormat="1" hidden="1">
      <c r="E49" s="96"/>
    </row>
    <row r="50" spans="5:5" s="95" customFormat="1" hidden="1">
      <c r="E50" s="96"/>
    </row>
    <row r="51" spans="5:5" s="95" customFormat="1" hidden="1">
      <c r="E51" s="96"/>
    </row>
    <row r="52" spans="5:5" s="95" customFormat="1" hidden="1">
      <c r="E52" s="96"/>
    </row>
    <row r="53" spans="5:5" s="95" customFormat="1" hidden="1">
      <c r="E53" s="96"/>
    </row>
    <row r="54" spans="5:5" s="95" customFormat="1" hidden="1">
      <c r="E54" s="96"/>
    </row>
    <row r="55" spans="5:5" s="95" customFormat="1" hidden="1">
      <c r="E55" s="96"/>
    </row>
    <row r="56" spans="5:5" s="95" customFormat="1" hidden="1">
      <c r="E56" s="96"/>
    </row>
    <row r="57" spans="5:5" s="95" customFormat="1" hidden="1">
      <c r="E57" s="96"/>
    </row>
    <row r="58" spans="5:5" s="95" customFormat="1" hidden="1">
      <c r="E58" s="96"/>
    </row>
    <row r="59" spans="5:5" s="95" customFormat="1" hidden="1">
      <c r="E59" s="96"/>
    </row>
    <row r="60" spans="5:5" s="95" customFormat="1" hidden="1">
      <c r="E60" s="96"/>
    </row>
    <row r="61" spans="5:5" s="95" customFormat="1" hidden="1">
      <c r="E61" s="96"/>
    </row>
    <row r="62" spans="5:5" s="95" customFormat="1" hidden="1">
      <c r="E62" s="96"/>
    </row>
    <row r="63" spans="5:5" s="95" customFormat="1" hidden="1">
      <c r="E63" s="96"/>
    </row>
    <row r="64" spans="5:5" s="95" customFormat="1" hidden="1">
      <c r="E64" s="96"/>
    </row>
    <row r="65" spans="5:5" s="95" customFormat="1" hidden="1">
      <c r="E65" s="96"/>
    </row>
    <row r="66" spans="5:5" s="95" customFormat="1" hidden="1">
      <c r="E66" s="96"/>
    </row>
    <row r="67" spans="5:5" s="95" customFormat="1" hidden="1">
      <c r="E67" s="96"/>
    </row>
    <row r="68" spans="5:5" s="95" customFormat="1" hidden="1">
      <c r="E68" s="96"/>
    </row>
    <row r="69" spans="5:5" s="95" customFormat="1" hidden="1">
      <c r="E69" s="96"/>
    </row>
    <row r="70" spans="5:5" s="95" customFormat="1" hidden="1">
      <c r="E70" s="96"/>
    </row>
    <row r="71" spans="5:5" s="95" customFormat="1" hidden="1">
      <c r="E71" s="96"/>
    </row>
    <row r="72" spans="5:5" s="95" customFormat="1" hidden="1">
      <c r="E72" s="96"/>
    </row>
    <row r="73" spans="5:5" s="95" customFormat="1" hidden="1">
      <c r="E73" s="96"/>
    </row>
    <row r="74" spans="5:5" s="95" customFormat="1" hidden="1">
      <c r="E74" s="96"/>
    </row>
    <row r="75" spans="5:5" s="95" customFormat="1" hidden="1">
      <c r="E75" s="96"/>
    </row>
    <row r="76" spans="5:5" s="95" customFormat="1" hidden="1">
      <c r="E76" s="96"/>
    </row>
    <row r="77" spans="5:5" s="95" customFormat="1" hidden="1">
      <c r="E77" s="96"/>
    </row>
    <row r="78" spans="5:5" s="95" customFormat="1" hidden="1">
      <c r="E78" s="96"/>
    </row>
    <row r="79" spans="5:5" s="95" customFormat="1" hidden="1">
      <c r="E79" s="96"/>
    </row>
    <row r="80" spans="5:5" s="95" customFormat="1" hidden="1">
      <c r="E80" s="96"/>
    </row>
    <row r="81" spans="5:5" s="95" customFormat="1" hidden="1">
      <c r="E81" s="96"/>
    </row>
    <row r="82" spans="5:5" s="95" customFormat="1" hidden="1">
      <c r="E82" s="96"/>
    </row>
    <row r="83" spans="5:5" s="95" customFormat="1" hidden="1">
      <c r="E83" s="96"/>
    </row>
    <row r="84" spans="5:5" s="95" customFormat="1" hidden="1">
      <c r="E84" s="96"/>
    </row>
    <row r="85" spans="5:5" s="95" customFormat="1" hidden="1">
      <c r="E85" s="96"/>
    </row>
    <row r="86" spans="5:5" s="95" customFormat="1" hidden="1">
      <c r="E86" s="96"/>
    </row>
    <row r="87" spans="5:5" s="95" customFormat="1" hidden="1">
      <c r="E87" s="96"/>
    </row>
    <row r="88" spans="5:5" s="95" customFormat="1" hidden="1">
      <c r="E88" s="96"/>
    </row>
    <row r="89" spans="5:5" s="95" customFormat="1" hidden="1">
      <c r="E89" s="96"/>
    </row>
    <row r="90" spans="5:5" s="95" customFormat="1" hidden="1">
      <c r="E90" s="96"/>
    </row>
    <row r="91" spans="5:5" s="95" customFormat="1" hidden="1">
      <c r="E91" s="96"/>
    </row>
    <row r="92" spans="5:5" s="95" customFormat="1" hidden="1">
      <c r="E92" s="96"/>
    </row>
    <row r="93" spans="5:5" s="95" customFormat="1" hidden="1">
      <c r="E93" s="96"/>
    </row>
    <row r="94" spans="5:5" s="95" customFormat="1" hidden="1">
      <c r="E94" s="96"/>
    </row>
    <row r="95" spans="5:5" s="95" customFormat="1" hidden="1">
      <c r="E95" s="96"/>
    </row>
    <row r="96" spans="5:5" s="95" customFormat="1" hidden="1">
      <c r="E96" s="96"/>
    </row>
    <row r="97" spans="5:5" s="95" customFormat="1" hidden="1">
      <c r="E97" s="96"/>
    </row>
    <row r="98" spans="5:5" s="95" customFormat="1" hidden="1">
      <c r="E98" s="96"/>
    </row>
    <row r="99" spans="5:5" s="95" customFormat="1" hidden="1">
      <c r="E99" s="96"/>
    </row>
    <row r="100" spans="5:5" s="95" customFormat="1" hidden="1">
      <c r="E100" s="96"/>
    </row>
    <row r="101" spans="5:5" s="95" customFormat="1" hidden="1">
      <c r="E101" s="96"/>
    </row>
    <row r="102" spans="5:5" s="95" customFormat="1" hidden="1">
      <c r="E102" s="96"/>
    </row>
    <row r="103" spans="5:5" s="95" customFormat="1" hidden="1">
      <c r="E103" s="96"/>
    </row>
    <row r="104" spans="5:5" s="95" customFormat="1" hidden="1">
      <c r="E104" s="96"/>
    </row>
    <row r="105" spans="5:5" s="95" customFormat="1" hidden="1">
      <c r="E105" s="96"/>
    </row>
    <row r="106" spans="5:5" s="95" customFormat="1" hidden="1">
      <c r="E106" s="96"/>
    </row>
    <row r="107" spans="5:5" s="95" customFormat="1" hidden="1">
      <c r="E107" s="96"/>
    </row>
    <row r="108" spans="5:5" s="95" customFormat="1" hidden="1">
      <c r="E108" s="96"/>
    </row>
    <row r="109" spans="5:5" s="95" customFormat="1" hidden="1">
      <c r="E109" s="96"/>
    </row>
    <row r="110" spans="5:5" s="95" customFormat="1" hidden="1">
      <c r="E110" s="96"/>
    </row>
    <row r="111" spans="5:5" s="95" customFormat="1" hidden="1">
      <c r="E111" s="96"/>
    </row>
    <row r="112" spans="5:5" s="95" customFormat="1" hidden="1">
      <c r="E112" s="96"/>
    </row>
    <row r="113" spans="5:5" s="95" customFormat="1" hidden="1">
      <c r="E113" s="96"/>
    </row>
    <row r="114" spans="5:5" s="95" customFormat="1" hidden="1">
      <c r="E114" s="96"/>
    </row>
    <row r="115" spans="5:5" s="95" customFormat="1" hidden="1">
      <c r="E115" s="96"/>
    </row>
    <row r="116" spans="5:5" s="95" customFormat="1" hidden="1">
      <c r="E116" s="96"/>
    </row>
    <row r="117" spans="5:5" s="95" customFormat="1" hidden="1">
      <c r="E117" s="96"/>
    </row>
    <row r="118" spans="5:5" s="95" customFormat="1" hidden="1">
      <c r="E118" s="96"/>
    </row>
    <row r="119" spans="5:5" s="95" customFormat="1" hidden="1">
      <c r="E119" s="96"/>
    </row>
    <row r="120" spans="5:5" s="95" customFormat="1" hidden="1">
      <c r="E120" s="96"/>
    </row>
    <row r="121" spans="5:5" s="95" customFormat="1" hidden="1">
      <c r="E121" s="96"/>
    </row>
    <row r="122" spans="5:5" s="95" customFormat="1" hidden="1">
      <c r="E122" s="96"/>
    </row>
    <row r="123" spans="5:5" s="95" customFormat="1" hidden="1">
      <c r="E123" s="96"/>
    </row>
    <row r="124" spans="5:5" s="95" customFormat="1" hidden="1">
      <c r="E124" s="96"/>
    </row>
    <row r="125" spans="5:5" s="95" customFormat="1" hidden="1">
      <c r="E125" s="96"/>
    </row>
    <row r="126" spans="5:5" s="95" customFormat="1" hidden="1">
      <c r="E126" s="96"/>
    </row>
    <row r="127" spans="5:5" s="95" customFormat="1" hidden="1">
      <c r="E127" s="96"/>
    </row>
    <row r="128" spans="5:5" s="95" customFormat="1" hidden="1">
      <c r="E128" s="96"/>
    </row>
    <row r="129" spans="5:5" s="95" customFormat="1" hidden="1">
      <c r="E129" s="96"/>
    </row>
    <row r="130" spans="5:5" s="95" customFormat="1" hidden="1">
      <c r="E130" s="96"/>
    </row>
    <row r="131" spans="5:5" s="95" customFormat="1" hidden="1">
      <c r="E131" s="96"/>
    </row>
    <row r="132" spans="5:5" s="95" customFormat="1" hidden="1">
      <c r="E132" s="96"/>
    </row>
    <row r="133" spans="5:5" s="95" customFormat="1" hidden="1">
      <c r="E133" s="96"/>
    </row>
    <row r="134" spans="5:5" s="95" customFormat="1" hidden="1">
      <c r="E134" s="96"/>
    </row>
    <row r="135" spans="5:5" s="95" customFormat="1" hidden="1">
      <c r="E135" s="96"/>
    </row>
    <row r="136" spans="5:5" s="95" customFormat="1" hidden="1">
      <c r="E136" s="96"/>
    </row>
    <row r="137" spans="5:5" s="95" customFormat="1" hidden="1">
      <c r="E137" s="96"/>
    </row>
    <row r="138" spans="5:5" s="95" customFormat="1" hidden="1">
      <c r="E138" s="96"/>
    </row>
    <row r="139" spans="5:5" s="95" customFormat="1" hidden="1">
      <c r="E139" s="96"/>
    </row>
    <row r="140" spans="5:5" s="95" customFormat="1" hidden="1">
      <c r="E140" s="96"/>
    </row>
    <row r="141" spans="5:5" s="95" customFormat="1" hidden="1">
      <c r="E141" s="96"/>
    </row>
    <row r="142" spans="5:5" s="95" customFormat="1" hidden="1">
      <c r="E142" s="96"/>
    </row>
    <row r="143" spans="5:5" s="95" customFormat="1" hidden="1">
      <c r="E143" s="96"/>
    </row>
    <row r="144" spans="5:5" s="95" customFormat="1" hidden="1">
      <c r="E144" s="96"/>
    </row>
    <row r="145" spans="5:5" s="95" customFormat="1" hidden="1">
      <c r="E145" s="96"/>
    </row>
    <row r="146" spans="5:5" s="95" customFormat="1" hidden="1">
      <c r="E146" s="96"/>
    </row>
    <row r="147" spans="5:5" s="95" customFormat="1" hidden="1">
      <c r="E147" s="96"/>
    </row>
    <row r="148" spans="5:5" s="95" customFormat="1" hidden="1">
      <c r="E148" s="96"/>
    </row>
    <row r="149" spans="5:5" s="95" customFormat="1" hidden="1">
      <c r="E149" s="96"/>
    </row>
    <row r="150" spans="5:5" s="95" customFormat="1" hidden="1">
      <c r="E150" s="96"/>
    </row>
    <row r="151" spans="5:5" s="95" customFormat="1" hidden="1">
      <c r="E151" s="96"/>
    </row>
    <row r="152" spans="5:5" s="95" customFormat="1" hidden="1">
      <c r="E152" s="96"/>
    </row>
    <row r="153" spans="5:5" s="95" customFormat="1" hidden="1">
      <c r="E153" s="96"/>
    </row>
    <row r="154" spans="5:5" s="95" customFormat="1" hidden="1">
      <c r="E154" s="96"/>
    </row>
    <row r="155" spans="5:5" s="95" customFormat="1" hidden="1">
      <c r="E155" s="96"/>
    </row>
    <row r="156" spans="5:5" s="95" customFormat="1" hidden="1">
      <c r="E156" s="96"/>
    </row>
    <row r="157" spans="5:5" s="95" customFormat="1" hidden="1">
      <c r="E157" s="96"/>
    </row>
    <row r="158" spans="5:5" s="95" customFormat="1" hidden="1">
      <c r="E158" s="96"/>
    </row>
    <row r="159" spans="5:5" s="95" customFormat="1" hidden="1">
      <c r="E159" s="96"/>
    </row>
    <row r="160" spans="5:5" s="95" customFormat="1" hidden="1">
      <c r="E160" s="96"/>
    </row>
    <row r="161" spans="5:5" s="95" customFormat="1" hidden="1">
      <c r="E161" s="96"/>
    </row>
    <row r="162" spans="5:5" s="95" customFormat="1" hidden="1">
      <c r="E162" s="96"/>
    </row>
    <row r="163" spans="5:5" s="95" customFormat="1" hidden="1">
      <c r="E163" s="96"/>
    </row>
    <row r="164" spans="5:5" s="95" customFormat="1" hidden="1">
      <c r="E164" s="96"/>
    </row>
    <row r="165" spans="5:5" s="95" customFormat="1" hidden="1">
      <c r="E165" s="96"/>
    </row>
    <row r="166" spans="5:5" s="95" customFormat="1" hidden="1">
      <c r="E166" s="96"/>
    </row>
    <row r="167" spans="5:5" s="95" customFormat="1" hidden="1">
      <c r="E167" s="96"/>
    </row>
    <row r="168" spans="5:5" s="95" customFormat="1" hidden="1">
      <c r="E168" s="96"/>
    </row>
    <row r="169" spans="5:5" s="95" customFormat="1" hidden="1">
      <c r="E169" s="96"/>
    </row>
    <row r="170" spans="5:5" s="95" customFormat="1" hidden="1">
      <c r="E170" s="96"/>
    </row>
    <row r="171" spans="5:5" s="95" customFormat="1" hidden="1">
      <c r="E171" s="96"/>
    </row>
    <row r="172" spans="5:5" s="95" customFormat="1" hidden="1">
      <c r="E172" s="96"/>
    </row>
    <row r="173" spans="5:5" s="95" customFormat="1" hidden="1">
      <c r="E173" s="96"/>
    </row>
    <row r="174" spans="5:5" s="95" customFormat="1" hidden="1">
      <c r="E174" s="96"/>
    </row>
    <row r="175" spans="5:5" s="95" customFormat="1" hidden="1">
      <c r="E175" s="96"/>
    </row>
    <row r="176" spans="5:5" s="95" customFormat="1" hidden="1">
      <c r="E176" s="96"/>
    </row>
    <row r="177" spans="5:5" s="95" customFormat="1" hidden="1">
      <c r="E177" s="96"/>
    </row>
    <row r="178" spans="5:5" s="95" customFormat="1" hidden="1">
      <c r="E178" s="96"/>
    </row>
    <row r="179" spans="5:5" s="95" customFormat="1" hidden="1">
      <c r="E179" s="96"/>
    </row>
    <row r="180" spans="5:5" s="95" customFormat="1" hidden="1">
      <c r="E180" s="96"/>
    </row>
    <row r="181" spans="5:5" s="95" customFormat="1" hidden="1">
      <c r="E181" s="96"/>
    </row>
    <row r="182" spans="5:5" s="95" customFormat="1" hidden="1">
      <c r="E182" s="96"/>
    </row>
    <row r="183" spans="5:5" s="95" customFormat="1" hidden="1">
      <c r="E183" s="96"/>
    </row>
    <row r="184" spans="5:5" s="95" customFormat="1" hidden="1">
      <c r="E184" s="96"/>
    </row>
    <row r="185" spans="5:5" s="95" customFormat="1" hidden="1">
      <c r="E185" s="96"/>
    </row>
    <row r="186" spans="5:5" s="95" customFormat="1" hidden="1">
      <c r="E186" s="96"/>
    </row>
    <row r="187" spans="5:5" s="95" customFormat="1" hidden="1">
      <c r="E187" s="96"/>
    </row>
    <row r="188" spans="5:5" s="95" customFormat="1" hidden="1">
      <c r="E188" s="96"/>
    </row>
    <row r="189" spans="5:5" s="95" customFormat="1" hidden="1">
      <c r="E189" s="96"/>
    </row>
    <row r="190" spans="5:5" s="95" customFormat="1" hidden="1">
      <c r="E190" s="96"/>
    </row>
    <row r="191" spans="5:5" s="95" customFormat="1" hidden="1">
      <c r="E191" s="96"/>
    </row>
    <row r="192" spans="5:5" s="95" customFormat="1" hidden="1">
      <c r="E192" s="96"/>
    </row>
    <row r="193" spans="5:5" s="95" customFormat="1" hidden="1">
      <c r="E193" s="96"/>
    </row>
    <row r="194" spans="5:5" s="95" customFormat="1" hidden="1">
      <c r="E194" s="96"/>
    </row>
    <row r="195" spans="5:5" s="95" customFormat="1" hidden="1">
      <c r="E195" s="96"/>
    </row>
    <row r="196" spans="5:5" s="95" customFormat="1" hidden="1">
      <c r="E196" s="96"/>
    </row>
    <row r="197" spans="5:5" s="95" customFormat="1" hidden="1">
      <c r="E197" s="96"/>
    </row>
    <row r="198" spans="5:5" s="95" customFormat="1" hidden="1">
      <c r="E198" s="96"/>
    </row>
    <row r="199" spans="5:5" s="95" customFormat="1" hidden="1">
      <c r="E199" s="96"/>
    </row>
    <row r="200" spans="5:5" s="95" customFormat="1" hidden="1">
      <c r="E200" s="96"/>
    </row>
    <row r="201" spans="5:5" s="95" customFormat="1" hidden="1">
      <c r="E201" s="96"/>
    </row>
    <row r="202" spans="5:5" s="95" customFormat="1" hidden="1">
      <c r="E202" s="96"/>
    </row>
    <row r="203" spans="5:5" s="95" customFormat="1" hidden="1">
      <c r="E203" s="96"/>
    </row>
    <row r="204" spans="5:5" s="95" customFormat="1" hidden="1">
      <c r="E204" s="96"/>
    </row>
    <row r="205" spans="5:5" s="95" customFormat="1" hidden="1">
      <c r="E205" s="96"/>
    </row>
    <row r="206" spans="5:5" s="95" customFormat="1" hidden="1">
      <c r="E206" s="96"/>
    </row>
    <row r="207" spans="5:5" s="95" customFormat="1" hidden="1">
      <c r="E207" s="96"/>
    </row>
    <row r="208" spans="5:5" s="95" customFormat="1" hidden="1">
      <c r="E208" s="96"/>
    </row>
  </sheetData>
  <sheetProtection algorithmName="SHA-512" hashValue="W7tactq7CEOfDFjLpfagWPCm81VMhqXb9/dqL0OBGhbGuXnH6oh+VY6MhYBukTCiuVIpPRJ+8HrI32MtOwyxDQ==" saltValue="nHrYDj6SS9b3OPpGoiTO4g==" spinCount="100000" sheet="1" objects="1" scenarios="1" formatCells="0" formatColumns="0" formatRows="0"/>
  <mergeCells count="13">
    <mergeCell ref="K1:K31"/>
    <mergeCell ref="G23:H23"/>
    <mergeCell ref="G22:H22"/>
    <mergeCell ref="B4:D4"/>
    <mergeCell ref="A1:I1"/>
    <mergeCell ref="I18:I21"/>
    <mergeCell ref="C8:D8"/>
    <mergeCell ref="C5:D5"/>
    <mergeCell ref="C6:D6"/>
    <mergeCell ref="C7:D7"/>
    <mergeCell ref="G18:H20"/>
    <mergeCell ref="G21:H21"/>
    <mergeCell ref="E6:I7"/>
  </mergeCells>
  <dataValidations count="13">
    <dataValidation type="list" allowBlank="1" sqref="C10" xr:uid="{00000000-0002-0000-0000-000000000000}">
      <formula1>"Spalinowy (Diesel/LPG),Elektryczny (Li-Ion/Kwas)"</formula1>
    </dataValidation>
    <dataValidation type="list" allowBlank="1" showInputMessage="1" showErrorMessage="1" sqref="C12" xr:uid="{0BE43C87-B1B8-4686-9E30-F6821D76EBDA}">
      <formula1>"3 sekcje,4 sekcje"</formula1>
    </dataValidation>
    <dataValidation type="list" allowBlank="1" showInputMessage="1" showErrorMessage="1" sqref="C12 C11" xr:uid="{F67AE68F-629C-422A-82A4-B7EB01BC8B64}">
      <formula1>ListaModeliFiltrowana</formula1>
    </dataValidation>
    <dataValidation type="list" allowBlank="1" showInputMessage="1" showErrorMessage="1" sqref="C22" xr:uid="{F7BC9ADD-639C-4DD7-BAA5-5EF1EEF56CB9}">
      <formula1>"TAK, NIE"</formula1>
    </dataValidation>
    <dataValidation type="list" allowBlank="1" showInputMessage="1" showErrorMessage="1" sqref="C15" xr:uid="{73339784-D3A2-4490-A9AE-1F2542CA9C24}">
      <formula1>"Kabina ogrzewana z nawiewem,Przednia szyba z wycieraczką,Tylna szyba,Top window,Przednia szyba z wycieraczką i top window,Półkabina,Kabina ogrzewana z nawiewem i klimatyzacją,Brak"</formula1>
    </dataValidation>
    <dataValidation type="list" allowBlank="1" showInputMessage="1" showErrorMessage="1" sqref="C16" xr:uid="{8EC1C6C8-F5CD-41E2-967A-22C94791ABD3}">
      <formula1>"Przesuw boczny wideł zawieszany,Przesuw boczny wideł zintegrowany,Pozycjoner z przesuwem dla masztu triplex ZSM i innych,Pozycjoner z przesuwem tylko dla masztu duplex ZM,Pozycjoner z przesuwem tylko dla masztu duplex M"</formula1>
    </dataValidation>
    <dataValidation type="list" allowBlank="1" showInputMessage="1" showErrorMessage="1" sqref="C18" xr:uid="{43BE4BD8-F817-4A06-B80A-E2E3AD358C30}">
      <formula1>"1000,1070,1100,1150,1200,1220,1370,1520,1670,1820,2000,2120,2270"</formula1>
    </dataValidation>
    <dataValidation type="list" allowBlank="1" showInputMessage="1" showErrorMessage="1" sqref="C19" xr:uid="{F2DBD245-5073-447C-95A1-FB13A98B4FF6}">
      <formula1>"LED LIGHTS,LED LIGHTS + BLUE SPOT TYŁ,LED LIGHTS + BLUE SPOT PRZÓD/TYŁ,LED LIGHTS + BLUE SPOT PRZÓD/TYŁ + RED ZONE"</formula1>
    </dataValidation>
    <dataValidation type="list" allowBlank="1" showInputMessage="1" showErrorMessage="1" sqref="C13" xr:uid="{0CBE6491-26CC-4C2C-93DE-B1901B7862C6}">
      <formula1>"M200,M250,M300,M330,M350,M370,M400,M425,M450,M475,M500,M550,M600,ZM200,ZM250,ZM300,ZM330,ZM350,ZM370,ZM400,ZM425,ZM450,ZM475,ZM500,ZM550,ZM600,ZSM360,ZSM400,ZSM435,ZSM450,ZSM470,ZSM480,ZSM500,ZSM540,ZSM600,ZSM650,ZSM700"</formula1>
    </dataValidation>
    <dataValidation type="list" allowBlank="1" showInputMessage="1" showErrorMessage="1" sqref="C14" xr:uid="{83146C9D-ECF8-4787-9D7B-B6554228C83F}">
      <formula1>"Pełne (Superelastyczne/Solid),Niebrudzące (Non-marking)"</formula1>
    </dataValidation>
    <dataValidation type="list" allowBlank="1" showInputMessage="1" showErrorMessage="1" sqref="C17" xr:uid="{07ED9651-02B2-42A2-BC10-2B4488CFCEAD}">
      <formula1>"Standardowe (amortyzowane),Z fingertipami"</formula1>
    </dataValidation>
    <dataValidation type="list" allowBlank="1" showInputMessage="1" showErrorMessage="1" sqref="C20" xr:uid="{994AE796-A80D-4B35-8EF6-6C66A72767E6}">
      <formula1>"HELI 80V/280Ah dla serii G2-M/G3,HELI 80V/404Ah dla serii G2-M/G3,HELI 80V/560Ah dla serii G2-M/G3,HELI 80V/606Ah dla serii G2-M/G3,CATL 80V/302AH dla serii G2-M/G3,CATL 80V/456AH dla serii G2-M/G3,CATL 80V/604AH dla serii G2-M/G3"</formula1>
    </dataValidation>
    <dataValidation type="list" allowBlank="1" showInputMessage="1" showErrorMessage="1" sqref="C21" xr:uid="{9061EB4E-0270-490F-91FF-CB9D3485C76D}">
      <formula1>"szybka 200A"</formula1>
    </dataValidation>
  </dataValidations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CA21B-9A42-4B9A-AD3D-019544F8C300}">
  <sheetPr codeName="Arkusz13"/>
  <dimension ref="A1:Y7"/>
  <sheetViews>
    <sheetView workbookViewId="0">
      <selection activeCell="F17" sqref="F17"/>
    </sheetView>
  </sheetViews>
  <sheetFormatPr defaultRowHeight="14.4"/>
  <cols>
    <col min="1" max="1" width="42" bestFit="1" customWidth="1"/>
    <col min="2" max="11" width="14.88671875" bestFit="1" customWidth="1"/>
    <col min="12" max="25" width="16" bestFit="1" customWidth="1"/>
  </cols>
  <sheetData>
    <row r="1" spans="1:25" ht="15" thickBot="1">
      <c r="A1" s="153" t="s">
        <v>434</v>
      </c>
      <c r="B1" s="18" t="s">
        <v>16</v>
      </c>
      <c r="C1" s="18" t="s">
        <v>16</v>
      </c>
      <c r="D1" s="18" t="s">
        <v>16</v>
      </c>
      <c r="E1" s="18" t="s">
        <v>16</v>
      </c>
      <c r="F1" s="18" t="s">
        <v>16</v>
      </c>
      <c r="G1" s="18" t="s">
        <v>16</v>
      </c>
      <c r="H1" s="18" t="s">
        <v>16</v>
      </c>
      <c r="I1" s="18" t="s">
        <v>16</v>
      </c>
      <c r="J1" s="18" t="s">
        <v>16</v>
      </c>
      <c r="K1" s="18" t="s">
        <v>16</v>
      </c>
      <c r="L1" s="17" t="s">
        <v>26</v>
      </c>
      <c r="M1" s="17" t="s">
        <v>26</v>
      </c>
      <c r="N1" s="17" t="s">
        <v>26</v>
      </c>
      <c r="O1" s="17" t="s">
        <v>26</v>
      </c>
      <c r="P1" s="17" t="s">
        <v>26</v>
      </c>
      <c r="Q1" s="17" t="s">
        <v>26</v>
      </c>
      <c r="R1" s="17" t="s">
        <v>26</v>
      </c>
      <c r="S1" s="17" t="s">
        <v>26</v>
      </c>
      <c r="T1" s="17" t="s">
        <v>26</v>
      </c>
      <c r="U1" s="17" t="s">
        <v>26</v>
      </c>
      <c r="V1" s="17" t="s">
        <v>26</v>
      </c>
      <c r="W1" s="17" t="s">
        <v>26</v>
      </c>
      <c r="X1" s="17" t="s">
        <v>26</v>
      </c>
      <c r="Y1" s="17" t="s">
        <v>26</v>
      </c>
    </row>
    <row r="2" spans="1:25" ht="15" thickBot="1">
      <c r="A2" s="153"/>
      <c r="B2" s="19" t="s">
        <v>41</v>
      </c>
      <c r="C2" s="19" t="s">
        <v>41</v>
      </c>
      <c r="D2" s="19" t="s">
        <v>41</v>
      </c>
      <c r="E2" s="19" t="s">
        <v>38</v>
      </c>
      <c r="F2" s="19" t="s">
        <v>38</v>
      </c>
      <c r="G2" s="19" t="s">
        <v>38</v>
      </c>
      <c r="H2" s="19" t="s">
        <v>38</v>
      </c>
      <c r="I2" s="19" t="s">
        <v>38</v>
      </c>
      <c r="J2" s="19" t="s">
        <v>38</v>
      </c>
      <c r="K2" s="19" t="s">
        <v>38</v>
      </c>
      <c r="L2" s="19" t="s">
        <v>42</v>
      </c>
      <c r="M2" s="19" t="s">
        <v>42</v>
      </c>
      <c r="N2" s="19" t="s">
        <v>42</v>
      </c>
      <c r="O2" s="19" t="s">
        <v>174</v>
      </c>
      <c r="P2" s="19" t="s">
        <v>174</v>
      </c>
      <c r="Q2" s="19" t="s">
        <v>174</v>
      </c>
      <c r="R2" s="19" t="s">
        <v>174</v>
      </c>
      <c r="S2" s="19" t="s">
        <v>38</v>
      </c>
      <c r="T2" s="19" t="s">
        <v>38</v>
      </c>
      <c r="U2" s="19" t="s">
        <v>38</v>
      </c>
      <c r="V2" s="19" t="s">
        <v>38</v>
      </c>
      <c r="W2" s="19" t="s">
        <v>38</v>
      </c>
      <c r="X2" s="19" t="s">
        <v>38</v>
      </c>
      <c r="Y2" s="19" t="s">
        <v>38</v>
      </c>
    </row>
    <row r="3" spans="1:25" ht="15.6">
      <c r="A3" s="154"/>
      <c r="B3" s="20" t="s">
        <v>17</v>
      </c>
      <c r="C3" s="20" t="s">
        <v>19</v>
      </c>
      <c r="D3" s="20" t="s">
        <v>20</v>
      </c>
      <c r="E3" s="20" t="s">
        <v>17</v>
      </c>
      <c r="F3" s="20" t="s">
        <v>19</v>
      </c>
      <c r="G3" s="20" t="s">
        <v>20</v>
      </c>
      <c r="H3" s="20" t="s">
        <v>22</v>
      </c>
      <c r="I3" s="20" t="s">
        <v>24</v>
      </c>
      <c r="J3" s="20" t="s">
        <v>297</v>
      </c>
      <c r="K3" s="20" t="s">
        <v>298</v>
      </c>
      <c r="L3" s="20" t="s">
        <v>17</v>
      </c>
      <c r="M3" s="20" t="s">
        <v>19</v>
      </c>
      <c r="N3" s="20" t="s">
        <v>20</v>
      </c>
      <c r="O3" s="20" t="s">
        <v>17</v>
      </c>
      <c r="P3" s="20" t="s">
        <v>19</v>
      </c>
      <c r="Q3" s="20" t="s">
        <v>20</v>
      </c>
      <c r="R3" s="20" t="s">
        <v>22</v>
      </c>
      <c r="S3" s="20" t="s">
        <v>17</v>
      </c>
      <c r="T3" s="20" t="s">
        <v>19</v>
      </c>
      <c r="U3" s="20" t="s">
        <v>20</v>
      </c>
      <c r="V3" s="20" t="s">
        <v>22</v>
      </c>
      <c r="W3" s="20" t="s">
        <v>24</v>
      </c>
      <c r="X3" s="20" t="s">
        <v>297</v>
      </c>
      <c r="Y3" s="20" t="s">
        <v>298</v>
      </c>
    </row>
    <row r="4" spans="1:25">
      <c r="A4" s="22" t="s">
        <v>435</v>
      </c>
      <c r="B4" s="22">
        <v>180</v>
      </c>
      <c r="C4" s="22">
        <v>180</v>
      </c>
      <c r="D4" s="22">
        <v>180</v>
      </c>
      <c r="E4" s="22">
        <v>180</v>
      </c>
      <c r="F4" s="22">
        <v>180</v>
      </c>
      <c r="G4" s="22">
        <v>180</v>
      </c>
      <c r="H4" s="22">
        <v>240</v>
      </c>
      <c r="I4" s="22">
        <v>330</v>
      </c>
      <c r="J4" s="22">
        <v>330</v>
      </c>
      <c r="K4" s="22">
        <v>330</v>
      </c>
      <c r="L4" s="22">
        <v>180</v>
      </c>
      <c r="M4" s="22">
        <v>180</v>
      </c>
      <c r="N4" s="22">
        <v>180</v>
      </c>
      <c r="O4" s="22">
        <v>180</v>
      </c>
      <c r="P4" s="22">
        <v>180</v>
      </c>
      <c r="Q4" s="22">
        <v>180</v>
      </c>
      <c r="R4" s="22">
        <v>240</v>
      </c>
      <c r="S4" s="22">
        <v>180</v>
      </c>
      <c r="T4" s="22">
        <v>180</v>
      </c>
      <c r="U4" s="22">
        <v>180</v>
      </c>
      <c r="V4" s="22">
        <v>240</v>
      </c>
      <c r="W4" s="22">
        <v>340</v>
      </c>
      <c r="X4" s="22">
        <v>340</v>
      </c>
      <c r="Y4" s="22">
        <v>340</v>
      </c>
    </row>
    <row r="5" spans="1:25">
      <c r="A5" s="22" t="s">
        <v>436</v>
      </c>
      <c r="B5" s="22">
        <v>340</v>
      </c>
      <c r="C5" s="22">
        <v>340</v>
      </c>
      <c r="D5" s="22">
        <v>340</v>
      </c>
      <c r="E5" s="22">
        <v>340</v>
      </c>
      <c r="F5" s="22">
        <v>340</v>
      </c>
      <c r="G5" s="22">
        <v>340</v>
      </c>
      <c r="H5" s="22">
        <v>400</v>
      </c>
      <c r="I5" s="22">
        <v>490</v>
      </c>
      <c r="J5" s="22">
        <v>490</v>
      </c>
      <c r="K5" s="22">
        <v>490</v>
      </c>
      <c r="L5" s="22">
        <v>340</v>
      </c>
      <c r="M5" s="22">
        <v>340</v>
      </c>
      <c r="N5" s="22">
        <v>340</v>
      </c>
      <c r="O5" s="22">
        <v>340</v>
      </c>
      <c r="P5" s="22">
        <v>340</v>
      </c>
      <c r="Q5" s="22">
        <v>340</v>
      </c>
      <c r="R5" s="22">
        <v>400</v>
      </c>
      <c r="S5" s="22">
        <v>340</v>
      </c>
      <c r="T5" s="22">
        <v>340</v>
      </c>
      <c r="U5" s="22">
        <v>340</v>
      </c>
      <c r="V5" s="22">
        <v>400</v>
      </c>
      <c r="W5" s="22">
        <v>500</v>
      </c>
      <c r="X5" s="22">
        <v>500</v>
      </c>
      <c r="Y5" s="22">
        <v>500</v>
      </c>
    </row>
    <row r="6" spans="1:25">
      <c r="A6" s="22" t="s">
        <v>437</v>
      </c>
      <c r="B6" s="22">
        <v>380</v>
      </c>
      <c r="C6" s="22">
        <v>380</v>
      </c>
      <c r="D6" s="22">
        <v>380</v>
      </c>
      <c r="E6" s="22">
        <v>380</v>
      </c>
      <c r="F6" s="22">
        <v>380</v>
      </c>
      <c r="G6" s="22">
        <v>380</v>
      </c>
      <c r="H6" s="22">
        <v>440</v>
      </c>
      <c r="I6" s="22">
        <v>530</v>
      </c>
      <c r="J6" s="22">
        <v>530</v>
      </c>
      <c r="K6" s="22">
        <v>530</v>
      </c>
      <c r="L6" s="22">
        <v>380</v>
      </c>
      <c r="M6" s="22">
        <v>380</v>
      </c>
      <c r="N6" s="22">
        <v>380</v>
      </c>
      <c r="O6" s="22">
        <v>380</v>
      </c>
      <c r="P6" s="22">
        <v>380</v>
      </c>
      <c r="Q6" s="22">
        <v>380</v>
      </c>
      <c r="R6" s="22">
        <v>440</v>
      </c>
      <c r="S6" s="22">
        <v>380</v>
      </c>
      <c r="T6" s="22">
        <v>380</v>
      </c>
      <c r="U6" s="22">
        <v>380</v>
      </c>
      <c r="V6" s="22">
        <v>440</v>
      </c>
      <c r="W6" s="22">
        <v>540</v>
      </c>
      <c r="X6" s="22">
        <v>540</v>
      </c>
      <c r="Y6" s="22">
        <v>540</v>
      </c>
    </row>
    <row r="7" spans="1:25">
      <c r="A7" s="22" t="s">
        <v>438</v>
      </c>
      <c r="B7" s="22">
        <v>480</v>
      </c>
      <c r="C7" s="22">
        <v>480</v>
      </c>
      <c r="D7" s="22">
        <v>480</v>
      </c>
      <c r="E7" s="22">
        <v>480</v>
      </c>
      <c r="F7" s="22">
        <v>480</v>
      </c>
      <c r="G7" s="22">
        <v>480</v>
      </c>
      <c r="H7" s="22">
        <v>540</v>
      </c>
      <c r="I7" s="22">
        <v>630</v>
      </c>
      <c r="J7" s="22">
        <v>630</v>
      </c>
      <c r="K7" s="22">
        <v>630</v>
      </c>
      <c r="L7" s="22">
        <v>480</v>
      </c>
      <c r="M7" s="22">
        <v>480</v>
      </c>
      <c r="N7" s="22">
        <v>480</v>
      </c>
      <c r="O7" s="22">
        <v>480</v>
      </c>
      <c r="P7" s="22">
        <v>480</v>
      </c>
      <c r="Q7" s="22">
        <v>480</v>
      </c>
      <c r="R7" s="22">
        <v>540</v>
      </c>
      <c r="S7" s="22">
        <v>480</v>
      </c>
      <c r="T7" s="22">
        <v>480</v>
      </c>
      <c r="U7" s="22">
        <v>480</v>
      </c>
      <c r="V7" s="22">
        <v>540</v>
      </c>
      <c r="W7" s="22">
        <v>640</v>
      </c>
      <c r="X7" s="22">
        <v>640</v>
      </c>
      <c r="Y7" s="22">
        <v>640</v>
      </c>
    </row>
  </sheetData>
  <mergeCells count="1">
    <mergeCell ref="A1:A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AA163"/>
  <sheetViews>
    <sheetView topLeftCell="A118" zoomScale="85" zoomScaleNormal="85" workbookViewId="0">
      <selection activeCell="A142" sqref="A142:XFD143"/>
    </sheetView>
  </sheetViews>
  <sheetFormatPr defaultRowHeight="14.4"/>
  <cols>
    <col min="1" max="1" width="20" customWidth="1"/>
    <col min="2" max="2" width="104" style="3" bestFit="1" customWidth="1"/>
    <col min="3" max="3" width="25" customWidth="1"/>
    <col min="4" max="4" width="6.77734375" customWidth="1"/>
    <col min="5" max="5" width="10.77734375" customWidth="1"/>
    <col min="6" max="6" width="20" style="12" customWidth="1"/>
    <col min="7" max="7" width="19.44140625" bestFit="1" customWidth="1"/>
    <col min="8" max="8" width="11" customWidth="1"/>
  </cols>
  <sheetData>
    <row r="1" spans="1:27" s="5" customFormat="1" ht="46.8">
      <c r="A1" s="4" t="s">
        <v>11</v>
      </c>
      <c r="B1" s="71" t="s">
        <v>57</v>
      </c>
      <c r="C1" s="4" t="s">
        <v>12</v>
      </c>
      <c r="D1" s="4" t="s">
        <v>39</v>
      </c>
      <c r="E1" s="4" t="s">
        <v>13</v>
      </c>
      <c r="F1" s="60" t="s">
        <v>14</v>
      </c>
      <c r="G1" s="60" t="s">
        <v>40</v>
      </c>
      <c r="H1" s="60" t="s">
        <v>427</v>
      </c>
      <c r="I1"/>
      <c r="Z1" s="5" t="s">
        <v>25</v>
      </c>
      <c r="AA1" s="5" t="s">
        <v>25</v>
      </c>
    </row>
    <row r="2" spans="1:27">
      <c r="A2" s="7" t="s">
        <v>43</v>
      </c>
      <c r="B2" s="1" t="s">
        <v>58</v>
      </c>
      <c r="C2" s="9" t="s">
        <v>16</v>
      </c>
      <c r="D2" s="9" t="s">
        <v>41</v>
      </c>
      <c r="E2" s="58" t="s">
        <v>17</v>
      </c>
      <c r="F2" s="61">
        <v>14450</v>
      </c>
      <c r="G2" s="21">
        <v>3000</v>
      </c>
      <c r="H2" s="62" t="s">
        <v>428</v>
      </c>
      <c r="Z2" t="s">
        <v>157</v>
      </c>
      <c r="AA2" t="s">
        <v>157</v>
      </c>
    </row>
    <row r="3" spans="1:27">
      <c r="A3" s="7" t="s">
        <v>44</v>
      </c>
      <c r="B3" s="1" t="s">
        <v>58</v>
      </c>
      <c r="C3" s="9" t="s">
        <v>16</v>
      </c>
      <c r="D3" s="9" t="s">
        <v>41</v>
      </c>
      <c r="E3" s="58" t="s">
        <v>17</v>
      </c>
      <c r="F3" s="61">
        <v>14600</v>
      </c>
      <c r="G3" s="21">
        <v>3100</v>
      </c>
      <c r="H3" s="62" t="s">
        <v>428</v>
      </c>
      <c r="Z3" t="s">
        <v>27</v>
      </c>
      <c r="AA3" t="s">
        <v>27</v>
      </c>
    </row>
    <row r="4" spans="1:27">
      <c r="A4" s="7" t="s">
        <v>15</v>
      </c>
      <c r="B4" s="7" t="s">
        <v>59</v>
      </c>
      <c r="C4" s="9" t="s">
        <v>16</v>
      </c>
      <c r="D4" s="9" t="s">
        <v>41</v>
      </c>
      <c r="E4" s="58" t="s">
        <v>17</v>
      </c>
      <c r="F4" s="63">
        <v>17300</v>
      </c>
      <c r="G4" s="21">
        <v>3000</v>
      </c>
      <c r="H4" s="62" t="s">
        <v>428</v>
      </c>
      <c r="Z4" t="s">
        <v>158</v>
      </c>
      <c r="AA4" t="s">
        <v>158</v>
      </c>
    </row>
    <row r="5" spans="1:27">
      <c r="A5" s="7" t="s">
        <v>18</v>
      </c>
      <c r="B5" s="7" t="s">
        <v>59</v>
      </c>
      <c r="C5" s="9" t="s">
        <v>16</v>
      </c>
      <c r="D5" s="9" t="s">
        <v>41</v>
      </c>
      <c r="E5" s="58" t="s">
        <v>17</v>
      </c>
      <c r="F5" s="63">
        <v>17480</v>
      </c>
      <c r="G5" s="21">
        <v>3100</v>
      </c>
      <c r="H5" s="62" t="s">
        <v>428</v>
      </c>
      <c r="Z5" t="s">
        <v>396</v>
      </c>
      <c r="AA5" t="s">
        <v>396</v>
      </c>
    </row>
    <row r="6" spans="1:27">
      <c r="A6" s="1" t="s">
        <v>45</v>
      </c>
      <c r="B6" s="1" t="s">
        <v>60</v>
      </c>
      <c r="C6" s="9" t="s">
        <v>16</v>
      </c>
      <c r="D6" s="9" t="s">
        <v>41</v>
      </c>
      <c r="E6" s="58" t="s">
        <v>19</v>
      </c>
      <c r="F6" s="61">
        <v>18910</v>
      </c>
      <c r="G6" s="21">
        <v>3700</v>
      </c>
      <c r="H6" s="62" t="s">
        <v>428</v>
      </c>
      <c r="Z6" t="s">
        <v>395</v>
      </c>
      <c r="AA6" t="s">
        <v>395</v>
      </c>
    </row>
    <row r="7" spans="1:27">
      <c r="A7" s="1" t="s">
        <v>46</v>
      </c>
      <c r="B7" s="1" t="s">
        <v>60</v>
      </c>
      <c r="C7" s="9" t="s">
        <v>16</v>
      </c>
      <c r="D7" s="9" t="s">
        <v>41</v>
      </c>
      <c r="E7" s="58" t="s">
        <v>19</v>
      </c>
      <c r="F7" s="61">
        <v>19080</v>
      </c>
      <c r="G7" s="21">
        <v>4100</v>
      </c>
      <c r="H7" s="62" t="s">
        <v>428</v>
      </c>
      <c r="Z7" t="s">
        <v>162</v>
      </c>
      <c r="AA7" t="s">
        <v>162</v>
      </c>
    </row>
    <row r="8" spans="1:27">
      <c r="A8" s="1" t="s">
        <v>47</v>
      </c>
      <c r="B8" s="1" t="s">
        <v>60</v>
      </c>
      <c r="C8" s="9" t="s">
        <v>16</v>
      </c>
      <c r="D8" s="9" t="s">
        <v>41</v>
      </c>
      <c r="E8" s="58" t="s">
        <v>20</v>
      </c>
      <c r="F8" s="64">
        <v>19850</v>
      </c>
      <c r="G8" s="21">
        <v>4700</v>
      </c>
      <c r="H8" s="62" t="s">
        <v>428</v>
      </c>
      <c r="Z8" t="s">
        <v>163</v>
      </c>
      <c r="AA8" t="s">
        <v>163</v>
      </c>
    </row>
    <row r="9" spans="1:27">
      <c r="A9" s="1" t="s">
        <v>48</v>
      </c>
      <c r="B9" s="1" t="s">
        <v>60</v>
      </c>
      <c r="C9" s="9" t="s">
        <v>16</v>
      </c>
      <c r="D9" s="9" t="s">
        <v>41</v>
      </c>
      <c r="E9" s="58" t="s">
        <v>20</v>
      </c>
      <c r="F9" s="61">
        <v>20400</v>
      </c>
      <c r="G9" s="21">
        <v>5000</v>
      </c>
      <c r="H9" s="62" t="s">
        <v>428</v>
      </c>
      <c r="Z9" t="s">
        <v>164</v>
      </c>
      <c r="AA9" t="s">
        <v>164</v>
      </c>
    </row>
    <row r="10" spans="1:27">
      <c r="A10" s="1" t="s">
        <v>49</v>
      </c>
      <c r="B10" s="1" t="s">
        <v>58</v>
      </c>
      <c r="C10" s="9" t="s">
        <v>16</v>
      </c>
      <c r="D10" s="9" t="s">
        <v>41</v>
      </c>
      <c r="E10" s="58" t="s">
        <v>19</v>
      </c>
      <c r="F10" s="61">
        <v>15600</v>
      </c>
      <c r="G10" s="21">
        <v>3700</v>
      </c>
      <c r="H10" s="62" t="s">
        <v>428</v>
      </c>
      <c r="Z10" t="s">
        <v>165</v>
      </c>
      <c r="AA10" t="s">
        <v>165</v>
      </c>
    </row>
    <row r="11" spans="1:27">
      <c r="A11" s="1" t="s">
        <v>50</v>
      </c>
      <c r="B11" s="1" t="s">
        <v>58</v>
      </c>
      <c r="C11" s="9" t="s">
        <v>16</v>
      </c>
      <c r="D11" s="9" t="s">
        <v>41</v>
      </c>
      <c r="E11" s="58" t="s">
        <v>19</v>
      </c>
      <c r="F11" s="61">
        <v>15750</v>
      </c>
      <c r="G11" s="21">
        <v>4100</v>
      </c>
      <c r="H11" s="62" t="s">
        <v>428</v>
      </c>
      <c r="Z11" t="s">
        <v>167</v>
      </c>
      <c r="AA11" t="s">
        <v>167</v>
      </c>
    </row>
    <row r="12" spans="1:27">
      <c r="A12" s="1" t="s">
        <v>51</v>
      </c>
      <c r="B12" s="1" t="s">
        <v>58</v>
      </c>
      <c r="C12" s="9" t="s">
        <v>16</v>
      </c>
      <c r="D12" s="9" t="s">
        <v>41</v>
      </c>
      <c r="E12" s="58" t="s">
        <v>20</v>
      </c>
      <c r="F12" s="61">
        <v>16540</v>
      </c>
      <c r="G12" s="21">
        <v>4700</v>
      </c>
      <c r="H12" s="62" t="s">
        <v>428</v>
      </c>
      <c r="Z12" t="s">
        <v>168</v>
      </c>
      <c r="AA12" t="s">
        <v>168</v>
      </c>
    </row>
    <row r="13" spans="1:27">
      <c r="A13" s="1" t="s">
        <v>52</v>
      </c>
      <c r="B13" s="1" t="s">
        <v>58</v>
      </c>
      <c r="C13" s="9" t="s">
        <v>16</v>
      </c>
      <c r="D13" s="9" t="s">
        <v>41</v>
      </c>
      <c r="E13" s="58" t="s">
        <v>20</v>
      </c>
      <c r="F13" s="61">
        <v>17100</v>
      </c>
      <c r="G13" s="21">
        <v>5000</v>
      </c>
      <c r="H13" s="62" t="s">
        <v>428</v>
      </c>
      <c r="Z13" t="s">
        <v>169</v>
      </c>
      <c r="AA13" t="s">
        <v>169</v>
      </c>
    </row>
    <row r="14" spans="1:27">
      <c r="A14" s="1" t="s">
        <v>53</v>
      </c>
      <c r="B14" s="1" t="s">
        <v>61</v>
      </c>
      <c r="C14" s="9" t="s">
        <v>16</v>
      </c>
      <c r="D14" s="9" t="s">
        <v>41</v>
      </c>
      <c r="E14" s="58" t="s">
        <v>17</v>
      </c>
      <c r="F14" s="61">
        <v>15700</v>
      </c>
      <c r="G14" s="21">
        <v>3000</v>
      </c>
      <c r="H14" s="62" t="s">
        <v>428</v>
      </c>
      <c r="Z14" t="s">
        <v>28</v>
      </c>
      <c r="AA14" t="s">
        <v>28</v>
      </c>
    </row>
    <row r="15" spans="1:27">
      <c r="A15" s="1" t="s">
        <v>54</v>
      </c>
      <c r="B15" s="1" t="s">
        <v>61</v>
      </c>
      <c r="C15" s="9" t="s">
        <v>16</v>
      </c>
      <c r="D15" s="9" t="s">
        <v>41</v>
      </c>
      <c r="E15" s="58" t="s">
        <v>17</v>
      </c>
      <c r="F15" s="61">
        <v>15900</v>
      </c>
      <c r="G15" s="21">
        <v>3100</v>
      </c>
      <c r="H15" s="62" t="s">
        <v>428</v>
      </c>
      <c r="Z15" t="s">
        <v>172</v>
      </c>
      <c r="AA15" t="s">
        <v>172</v>
      </c>
    </row>
    <row r="16" spans="1:27">
      <c r="A16" s="1" t="s">
        <v>55</v>
      </c>
      <c r="B16" s="1" t="s">
        <v>62</v>
      </c>
      <c r="C16" s="9" t="s">
        <v>16</v>
      </c>
      <c r="D16" s="9" t="s">
        <v>41</v>
      </c>
      <c r="E16" s="58" t="s">
        <v>17</v>
      </c>
      <c r="F16" s="61">
        <v>16400</v>
      </c>
      <c r="G16" s="21">
        <v>3000</v>
      </c>
      <c r="H16" s="62" t="s">
        <v>428</v>
      </c>
      <c r="Z16" t="s">
        <v>29</v>
      </c>
      <c r="AA16" t="s">
        <v>29</v>
      </c>
    </row>
    <row r="17" spans="1:27">
      <c r="A17" s="1" t="s">
        <v>56</v>
      </c>
      <c r="B17" s="1" t="s">
        <v>62</v>
      </c>
      <c r="C17" s="9" t="s">
        <v>16</v>
      </c>
      <c r="D17" s="9" t="s">
        <v>41</v>
      </c>
      <c r="E17" s="58" t="s">
        <v>17</v>
      </c>
      <c r="F17" s="61">
        <v>16600</v>
      </c>
      <c r="G17" s="21">
        <v>3100</v>
      </c>
      <c r="H17" s="62" t="s">
        <v>428</v>
      </c>
      <c r="Z17" t="s">
        <v>173</v>
      </c>
      <c r="AA17" t="s">
        <v>173</v>
      </c>
    </row>
    <row r="18" spans="1:27">
      <c r="A18" s="1" t="s">
        <v>63</v>
      </c>
      <c r="B18" s="1" t="s">
        <v>61</v>
      </c>
      <c r="C18" s="9" t="s">
        <v>16</v>
      </c>
      <c r="D18" s="9" t="s">
        <v>41</v>
      </c>
      <c r="E18" s="58" t="s">
        <v>19</v>
      </c>
      <c r="F18" s="61">
        <v>16550</v>
      </c>
      <c r="G18" s="21">
        <v>3700</v>
      </c>
      <c r="H18" s="62" t="s">
        <v>428</v>
      </c>
      <c r="Z18" t="s">
        <v>30</v>
      </c>
      <c r="AA18" t="s">
        <v>30</v>
      </c>
    </row>
    <row r="19" spans="1:27">
      <c r="A19" s="1" t="s">
        <v>64</v>
      </c>
      <c r="B19" s="1" t="s">
        <v>61</v>
      </c>
      <c r="C19" s="9" t="s">
        <v>16</v>
      </c>
      <c r="D19" s="9" t="s">
        <v>41</v>
      </c>
      <c r="E19" s="58" t="s">
        <v>19</v>
      </c>
      <c r="F19" s="61">
        <v>16850</v>
      </c>
      <c r="G19" s="21">
        <v>4100</v>
      </c>
      <c r="H19" s="62" t="s">
        <v>428</v>
      </c>
      <c r="Z19" t="s">
        <v>178</v>
      </c>
      <c r="AA19" t="s">
        <v>178</v>
      </c>
    </row>
    <row r="20" spans="1:27">
      <c r="A20" s="1" t="s">
        <v>65</v>
      </c>
      <c r="B20" s="1" t="s">
        <v>61</v>
      </c>
      <c r="C20" s="9" t="s">
        <v>16</v>
      </c>
      <c r="D20" s="9" t="s">
        <v>41</v>
      </c>
      <c r="E20" s="58" t="s">
        <v>20</v>
      </c>
      <c r="F20" s="61">
        <v>17600</v>
      </c>
      <c r="G20" s="21">
        <v>4700</v>
      </c>
      <c r="H20" s="62" t="s">
        <v>428</v>
      </c>
      <c r="Z20" t="s">
        <v>179</v>
      </c>
      <c r="AA20" t="s">
        <v>179</v>
      </c>
    </row>
    <row r="21" spans="1:27">
      <c r="A21" s="1" t="s">
        <v>66</v>
      </c>
      <c r="B21" s="1" t="s">
        <v>61</v>
      </c>
      <c r="C21" s="9" t="s">
        <v>16</v>
      </c>
      <c r="D21" s="9" t="s">
        <v>41</v>
      </c>
      <c r="E21" s="58" t="s">
        <v>20</v>
      </c>
      <c r="F21" s="61">
        <v>18100</v>
      </c>
      <c r="G21" s="21">
        <v>5000</v>
      </c>
      <c r="H21" s="62" t="s">
        <v>428</v>
      </c>
      <c r="Z21" t="s">
        <v>180</v>
      </c>
      <c r="AA21" t="s">
        <v>180</v>
      </c>
    </row>
    <row r="22" spans="1:27">
      <c r="A22" s="1" t="s">
        <v>67</v>
      </c>
      <c r="B22" s="1" t="s">
        <v>62</v>
      </c>
      <c r="C22" s="9" t="s">
        <v>16</v>
      </c>
      <c r="D22" s="9" t="s">
        <v>41</v>
      </c>
      <c r="E22" s="58" t="s">
        <v>19</v>
      </c>
      <c r="F22" s="61">
        <v>17250</v>
      </c>
      <c r="G22" s="21">
        <v>3700</v>
      </c>
      <c r="H22" s="62" t="s">
        <v>428</v>
      </c>
      <c r="Z22" t="s">
        <v>181</v>
      </c>
      <c r="AA22" t="s">
        <v>181</v>
      </c>
    </row>
    <row r="23" spans="1:27">
      <c r="A23" s="1" t="s">
        <v>68</v>
      </c>
      <c r="B23" s="1" t="s">
        <v>62</v>
      </c>
      <c r="C23" s="9" t="s">
        <v>16</v>
      </c>
      <c r="D23" s="9" t="s">
        <v>41</v>
      </c>
      <c r="E23" s="58" t="s">
        <v>19</v>
      </c>
      <c r="F23" s="61">
        <v>17500</v>
      </c>
      <c r="G23" s="21">
        <v>4100</v>
      </c>
      <c r="H23" s="62" t="s">
        <v>428</v>
      </c>
      <c r="Z23" t="s">
        <v>182</v>
      </c>
      <c r="AA23" t="s">
        <v>182</v>
      </c>
    </row>
    <row r="24" spans="1:27">
      <c r="A24" s="1" t="s">
        <v>69</v>
      </c>
      <c r="B24" s="1" t="s">
        <v>62</v>
      </c>
      <c r="C24" s="9" t="s">
        <v>16</v>
      </c>
      <c r="D24" s="9" t="s">
        <v>41</v>
      </c>
      <c r="E24" s="58" t="s">
        <v>20</v>
      </c>
      <c r="F24" s="61">
        <v>18250</v>
      </c>
      <c r="G24" s="21">
        <v>4700</v>
      </c>
      <c r="H24" s="62" t="s">
        <v>428</v>
      </c>
      <c r="Z24" t="s">
        <v>183</v>
      </c>
      <c r="AA24" t="s">
        <v>183</v>
      </c>
    </row>
    <row r="25" spans="1:27">
      <c r="A25" s="1" t="s">
        <v>70</v>
      </c>
      <c r="B25" s="1" t="s">
        <v>62</v>
      </c>
      <c r="C25" s="9" t="s">
        <v>16</v>
      </c>
      <c r="D25" s="9" t="s">
        <v>41</v>
      </c>
      <c r="E25" s="58" t="s">
        <v>20</v>
      </c>
      <c r="F25" s="61">
        <v>18750</v>
      </c>
      <c r="G25" s="21">
        <v>5000</v>
      </c>
      <c r="H25" s="62" t="s">
        <v>428</v>
      </c>
      <c r="Z25" t="s">
        <v>184</v>
      </c>
      <c r="AA25" t="s">
        <v>184</v>
      </c>
    </row>
    <row r="26" spans="1:27">
      <c r="A26" s="1" t="s">
        <v>71</v>
      </c>
      <c r="B26" s="1" t="s">
        <v>75</v>
      </c>
      <c r="C26" s="9" t="s">
        <v>16</v>
      </c>
      <c r="D26" s="9" t="s">
        <v>38</v>
      </c>
      <c r="E26" s="58" t="s">
        <v>19</v>
      </c>
      <c r="F26" s="61">
        <v>16100</v>
      </c>
      <c r="G26" s="21">
        <v>3800</v>
      </c>
      <c r="H26" s="62" t="s">
        <v>428</v>
      </c>
      <c r="Z26" t="s">
        <v>31</v>
      </c>
      <c r="AA26" t="s">
        <v>31</v>
      </c>
    </row>
    <row r="27" spans="1:27">
      <c r="A27" s="1" t="s">
        <v>72</v>
      </c>
      <c r="B27" s="1" t="s">
        <v>75</v>
      </c>
      <c r="C27" s="9" t="s">
        <v>16</v>
      </c>
      <c r="D27" s="9" t="s">
        <v>38</v>
      </c>
      <c r="E27" s="58" t="s">
        <v>19</v>
      </c>
      <c r="F27" s="61">
        <v>16350</v>
      </c>
      <c r="G27" s="21">
        <v>4300</v>
      </c>
      <c r="H27" s="62" t="s">
        <v>428</v>
      </c>
      <c r="Z27" t="s">
        <v>185</v>
      </c>
      <c r="AA27" t="s">
        <v>185</v>
      </c>
    </row>
    <row r="28" spans="1:27">
      <c r="A28" s="1" t="s">
        <v>73</v>
      </c>
      <c r="B28" s="1" t="s">
        <v>75</v>
      </c>
      <c r="C28" s="9" t="s">
        <v>16</v>
      </c>
      <c r="D28" s="9" t="s">
        <v>38</v>
      </c>
      <c r="E28" s="58" t="s">
        <v>20</v>
      </c>
      <c r="F28" s="61">
        <v>17100</v>
      </c>
      <c r="G28" s="21">
        <v>4700</v>
      </c>
      <c r="H28" s="62" t="s">
        <v>428</v>
      </c>
      <c r="Z28" t="s">
        <v>32</v>
      </c>
      <c r="AA28" t="s">
        <v>32</v>
      </c>
    </row>
    <row r="29" spans="1:27">
      <c r="A29" s="1" t="s">
        <v>74</v>
      </c>
      <c r="B29" s="1" t="s">
        <v>75</v>
      </c>
      <c r="C29" s="9" t="s">
        <v>16</v>
      </c>
      <c r="D29" s="9" t="s">
        <v>38</v>
      </c>
      <c r="E29" s="58" t="s">
        <v>20</v>
      </c>
      <c r="F29" s="61">
        <v>17650</v>
      </c>
      <c r="G29" s="21">
        <v>5000</v>
      </c>
      <c r="H29" s="62" t="s">
        <v>428</v>
      </c>
      <c r="Z29" t="s">
        <v>188</v>
      </c>
      <c r="AA29" t="s">
        <v>188</v>
      </c>
    </row>
    <row r="30" spans="1:27">
      <c r="A30" s="1" t="s">
        <v>76</v>
      </c>
      <c r="B30" s="1" t="s">
        <v>80</v>
      </c>
      <c r="C30" s="9" t="s">
        <v>16</v>
      </c>
      <c r="D30" s="9" t="s">
        <v>38</v>
      </c>
      <c r="E30" s="58" t="s">
        <v>19</v>
      </c>
      <c r="F30" s="61">
        <v>16800</v>
      </c>
      <c r="G30" s="21">
        <v>3800</v>
      </c>
      <c r="H30" s="62" t="s">
        <v>428</v>
      </c>
      <c r="Z30" t="s">
        <v>189</v>
      </c>
      <c r="AA30" t="s">
        <v>189</v>
      </c>
    </row>
    <row r="31" spans="1:27">
      <c r="A31" s="1" t="s">
        <v>77</v>
      </c>
      <c r="B31" s="1" t="s">
        <v>80</v>
      </c>
      <c r="C31" s="9" t="s">
        <v>16</v>
      </c>
      <c r="D31" s="9" t="s">
        <v>38</v>
      </c>
      <c r="E31" s="58" t="s">
        <v>19</v>
      </c>
      <c r="F31" s="61">
        <v>17050</v>
      </c>
      <c r="G31" s="21">
        <v>4300</v>
      </c>
      <c r="H31" s="62" t="s">
        <v>428</v>
      </c>
      <c r="Z31" t="s">
        <v>190</v>
      </c>
      <c r="AA31" t="s">
        <v>190</v>
      </c>
    </row>
    <row r="32" spans="1:27">
      <c r="A32" s="1" t="s">
        <v>78</v>
      </c>
      <c r="B32" s="1" t="s">
        <v>80</v>
      </c>
      <c r="C32" s="9" t="s">
        <v>16</v>
      </c>
      <c r="D32" s="9" t="s">
        <v>38</v>
      </c>
      <c r="E32" s="58" t="s">
        <v>20</v>
      </c>
      <c r="F32" s="61">
        <v>17800</v>
      </c>
      <c r="G32" s="21">
        <v>4700</v>
      </c>
      <c r="H32" s="62" t="s">
        <v>428</v>
      </c>
      <c r="Z32" t="s">
        <v>191</v>
      </c>
      <c r="AA32" t="s">
        <v>191</v>
      </c>
    </row>
    <row r="33" spans="1:27">
      <c r="A33" s="1" t="s">
        <v>79</v>
      </c>
      <c r="B33" s="1" t="s">
        <v>80</v>
      </c>
      <c r="C33" s="9" t="s">
        <v>16</v>
      </c>
      <c r="D33" s="9" t="s">
        <v>38</v>
      </c>
      <c r="E33" s="58" t="s">
        <v>20</v>
      </c>
      <c r="F33" s="61">
        <v>18350</v>
      </c>
      <c r="G33" s="21">
        <v>5000</v>
      </c>
      <c r="H33" s="62" t="s">
        <v>428</v>
      </c>
      <c r="Z33" t="s">
        <v>192</v>
      </c>
      <c r="AA33" t="s">
        <v>192</v>
      </c>
    </row>
    <row r="34" spans="1:27">
      <c r="A34" s="1" t="s">
        <v>81</v>
      </c>
      <c r="B34" s="7" t="s">
        <v>93</v>
      </c>
      <c r="C34" s="9" t="s">
        <v>16</v>
      </c>
      <c r="D34" s="9" t="s">
        <v>38</v>
      </c>
      <c r="E34" s="58" t="s">
        <v>19</v>
      </c>
      <c r="F34" s="61">
        <v>24150</v>
      </c>
      <c r="G34" s="21">
        <v>3800</v>
      </c>
      <c r="H34" s="62" t="s">
        <v>428</v>
      </c>
      <c r="Z34" t="s">
        <v>194</v>
      </c>
      <c r="AA34" t="s">
        <v>194</v>
      </c>
    </row>
    <row r="35" spans="1:27">
      <c r="A35" s="1" t="s">
        <v>82</v>
      </c>
      <c r="B35" s="7" t="s">
        <v>93</v>
      </c>
      <c r="C35" s="9" t="s">
        <v>16</v>
      </c>
      <c r="D35" s="9" t="s">
        <v>38</v>
      </c>
      <c r="E35" s="58" t="s">
        <v>19</v>
      </c>
      <c r="F35" s="61">
        <v>24350</v>
      </c>
      <c r="G35" s="21">
        <v>4300</v>
      </c>
      <c r="H35" s="62" t="s">
        <v>428</v>
      </c>
      <c r="Z35" t="s">
        <v>195</v>
      </c>
      <c r="AA35" t="s">
        <v>195</v>
      </c>
    </row>
    <row r="36" spans="1:27">
      <c r="A36" s="1" t="s">
        <v>83</v>
      </c>
      <c r="B36" s="7" t="s">
        <v>93</v>
      </c>
      <c r="C36" s="9" t="s">
        <v>16</v>
      </c>
      <c r="D36" s="9" t="s">
        <v>38</v>
      </c>
      <c r="E36" s="58" t="s">
        <v>20</v>
      </c>
      <c r="F36" s="61">
        <v>25100</v>
      </c>
      <c r="G36" s="21">
        <v>4700</v>
      </c>
      <c r="H36" s="62" t="s">
        <v>428</v>
      </c>
      <c r="Z36" t="s">
        <v>196</v>
      </c>
      <c r="AA36" t="s">
        <v>196</v>
      </c>
    </row>
    <row r="37" spans="1:27">
      <c r="A37" s="1" t="s">
        <v>84</v>
      </c>
      <c r="B37" s="7" t="s">
        <v>93</v>
      </c>
      <c r="C37" s="9" t="s">
        <v>16</v>
      </c>
      <c r="D37" s="9" t="s">
        <v>38</v>
      </c>
      <c r="E37" s="58" t="s">
        <v>20</v>
      </c>
      <c r="F37" s="61">
        <v>25650</v>
      </c>
      <c r="G37" s="21">
        <v>5000</v>
      </c>
      <c r="H37" s="62" t="s">
        <v>428</v>
      </c>
      <c r="Z37" t="s">
        <v>197</v>
      </c>
      <c r="AA37" t="s">
        <v>197</v>
      </c>
    </row>
    <row r="38" spans="1:27">
      <c r="A38" s="1" t="s">
        <v>85</v>
      </c>
      <c r="B38" s="7" t="s">
        <v>94</v>
      </c>
      <c r="C38" s="9" t="s">
        <v>16</v>
      </c>
      <c r="D38" s="9" t="s">
        <v>38</v>
      </c>
      <c r="E38" s="58" t="s">
        <v>19</v>
      </c>
      <c r="F38" s="61">
        <v>21800</v>
      </c>
      <c r="G38" s="21">
        <v>3800</v>
      </c>
      <c r="H38" s="62" t="s">
        <v>428</v>
      </c>
      <c r="Z38" t="s">
        <v>199</v>
      </c>
      <c r="AA38" t="s">
        <v>199</v>
      </c>
    </row>
    <row r="39" spans="1:27">
      <c r="A39" s="1" t="s">
        <v>86</v>
      </c>
      <c r="B39" s="7" t="s">
        <v>94</v>
      </c>
      <c r="C39" s="9" t="s">
        <v>16</v>
      </c>
      <c r="D39" s="9" t="s">
        <v>38</v>
      </c>
      <c r="E39" s="58" t="s">
        <v>19</v>
      </c>
      <c r="F39" s="61">
        <v>22100</v>
      </c>
      <c r="G39" s="21">
        <v>4300</v>
      </c>
      <c r="H39" s="62" t="s">
        <v>428</v>
      </c>
      <c r="Z39" t="s">
        <v>200</v>
      </c>
      <c r="AA39" t="s">
        <v>200</v>
      </c>
    </row>
    <row r="40" spans="1:27">
      <c r="A40" s="1" t="s">
        <v>87</v>
      </c>
      <c r="B40" s="7" t="s">
        <v>94</v>
      </c>
      <c r="C40" s="9" t="s">
        <v>16</v>
      </c>
      <c r="D40" s="9" t="s">
        <v>38</v>
      </c>
      <c r="E40" s="58" t="s">
        <v>20</v>
      </c>
      <c r="F40" s="61">
        <v>22850</v>
      </c>
      <c r="G40" s="21">
        <v>4700</v>
      </c>
      <c r="H40" s="62" t="s">
        <v>428</v>
      </c>
      <c r="Z40" t="s">
        <v>201</v>
      </c>
      <c r="AA40" t="s">
        <v>201</v>
      </c>
    </row>
    <row r="41" spans="1:27">
      <c r="A41" s="1" t="s">
        <v>88</v>
      </c>
      <c r="B41" s="7" t="s">
        <v>94</v>
      </c>
      <c r="C41" s="9" t="s">
        <v>16</v>
      </c>
      <c r="D41" s="9" t="s">
        <v>38</v>
      </c>
      <c r="E41" s="58" t="s">
        <v>20</v>
      </c>
      <c r="F41" s="61">
        <v>23350</v>
      </c>
      <c r="G41" s="21">
        <v>5000</v>
      </c>
      <c r="H41" s="62" t="s">
        <v>428</v>
      </c>
      <c r="Z41" t="s">
        <v>202</v>
      </c>
      <c r="AA41" t="s">
        <v>202</v>
      </c>
    </row>
    <row r="42" spans="1:27">
      <c r="A42" s="1" t="s">
        <v>89</v>
      </c>
      <c r="B42" s="7" t="s">
        <v>95</v>
      </c>
      <c r="C42" s="9" t="s">
        <v>16</v>
      </c>
      <c r="D42" s="9" t="s">
        <v>38</v>
      </c>
      <c r="E42" s="58" t="s">
        <v>19</v>
      </c>
      <c r="F42" s="61">
        <v>22500</v>
      </c>
      <c r="G42" s="21">
        <v>3800</v>
      </c>
      <c r="H42" s="62" t="s">
        <v>428</v>
      </c>
      <c r="Z42" t="s">
        <v>205</v>
      </c>
      <c r="AA42" t="s">
        <v>205</v>
      </c>
    </row>
    <row r="43" spans="1:27">
      <c r="A43" s="1" t="s">
        <v>90</v>
      </c>
      <c r="B43" s="7" t="s">
        <v>95</v>
      </c>
      <c r="C43" s="9" t="s">
        <v>16</v>
      </c>
      <c r="D43" s="9" t="s">
        <v>38</v>
      </c>
      <c r="E43" s="58" t="s">
        <v>19</v>
      </c>
      <c r="F43" s="61">
        <v>22750</v>
      </c>
      <c r="G43" s="21">
        <v>4300</v>
      </c>
      <c r="H43" s="62" t="s">
        <v>428</v>
      </c>
      <c r="Z43" t="s">
        <v>206</v>
      </c>
      <c r="AA43" t="s">
        <v>206</v>
      </c>
    </row>
    <row r="44" spans="1:27">
      <c r="A44" s="1" t="s">
        <v>91</v>
      </c>
      <c r="B44" s="7" t="s">
        <v>95</v>
      </c>
      <c r="C44" s="9" t="s">
        <v>16</v>
      </c>
      <c r="D44" s="9" t="s">
        <v>38</v>
      </c>
      <c r="E44" s="58" t="s">
        <v>20</v>
      </c>
      <c r="F44" s="61">
        <v>23500</v>
      </c>
      <c r="G44" s="21">
        <v>4700</v>
      </c>
      <c r="H44" s="62" t="s">
        <v>428</v>
      </c>
      <c r="Z44" t="s">
        <v>207</v>
      </c>
      <c r="AA44" t="s">
        <v>207</v>
      </c>
    </row>
    <row r="45" spans="1:27">
      <c r="A45" s="1" t="s">
        <v>92</v>
      </c>
      <c r="B45" s="7" t="s">
        <v>95</v>
      </c>
      <c r="C45" s="9" t="s">
        <v>16</v>
      </c>
      <c r="D45" s="9" t="s">
        <v>38</v>
      </c>
      <c r="E45" s="58" t="s">
        <v>20</v>
      </c>
      <c r="F45" s="61">
        <v>24050</v>
      </c>
      <c r="G45" s="21">
        <v>5000</v>
      </c>
      <c r="H45" s="62" t="s">
        <v>428</v>
      </c>
      <c r="Z45" t="s">
        <v>208</v>
      </c>
      <c r="AA45" t="s">
        <v>208</v>
      </c>
    </row>
    <row r="46" spans="1:27">
      <c r="A46" s="1" t="s">
        <v>96</v>
      </c>
      <c r="B46" s="7" t="s">
        <v>110</v>
      </c>
      <c r="C46" s="9" t="s">
        <v>16</v>
      </c>
      <c r="D46" s="9" t="s">
        <v>38</v>
      </c>
      <c r="E46" s="58" t="s">
        <v>19</v>
      </c>
      <c r="F46" s="61">
        <v>16950</v>
      </c>
      <c r="G46" s="21">
        <v>3800</v>
      </c>
      <c r="H46" s="62" t="s">
        <v>428</v>
      </c>
      <c r="Z46" t="s">
        <v>209</v>
      </c>
      <c r="AA46" t="s">
        <v>209</v>
      </c>
    </row>
    <row r="47" spans="1:27">
      <c r="A47" s="1" t="s">
        <v>97</v>
      </c>
      <c r="B47" s="7" t="s">
        <v>110</v>
      </c>
      <c r="C47" s="9" t="s">
        <v>16</v>
      </c>
      <c r="D47" s="9" t="s">
        <v>38</v>
      </c>
      <c r="E47" s="58" t="s">
        <v>19</v>
      </c>
      <c r="F47" s="61">
        <v>17250</v>
      </c>
      <c r="G47" s="21">
        <v>4300</v>
      </c>
      <c r="H47" s="62" t="s">
        <v>428</v>
      </c>
      <c r="Z47" t="s">
        <v>212</v>
      </c>
      <c r="AA47" t="s">
        <v>210</v>
      </c>
    </row>
    <row r="48" spans="1:27">
      <c r="A48" s="1" t="s">
        <v>98</v>
      </c>
      <c r="B48" s="7" t="s">
        <v>110</v>
      </c>
      <c r="C48" s="9" t="s">
        <v>16</v>
      </c>
      <c r="D48" s="9" t="s">
        <v>38</v>
      </c>
      <c r="E48" s="58" t="s">
        <v>20</v>
      </c>
      <c r="F48" s="61">
        <v>18000</v>
      </c>
      <c r="G48" s="21">
        <v>4700</v>
      </c>
      <c r="H48" s="62" t="s">
        <v>428</v>
      </c>
      <c r="Z48" t="s">
        <v>213</v>
      </c>
      <c r="AA48" t="s">
        <v>211</v>
      </c>
    </row>
    <row r="49" spans="1:27">
      <c r="A49" s="1" t="s">
        <v>99</v>
      </c>
      <c r="B49" s="7" t="s">
        <v>110</v>
      </c>
      <c r="C49" s="9" t="s">
        <v>16</v>
      </c>
      <c r="D49" s="9" t="s">
        <v>38</v>
      </c>
      <c r="E49" s="58" t="s">
        <v>20</v>
      </c>
      <c r="F49" s="61">
        <v>18500</v>
      </c>
      <c r="G49" s="21">
        <v>5000</v>
      </c>
      <c r="H49" s="62" t="s">
        <v>428</v>
      </c>
      <c r="Z49" t="s">
        <v>214</v>
      </c>
      <c r="AA49" t="s">
        <v>212</v>
      </c>
    </row>
    <row r="50" spans="1:27">
      <c r="A50" s="1" t="s">
        <v>100</v>
      </c>
      <c r="B50" s="7" t="s">
        <v>111</v>
      </c>
      <c r="C50" s="9" t="s">
        <v>16</v>
      </c>
      <c r="D50" s="9" t="s">
        <v>38</v>
      </c>
      <c r="E50" s="58" t="s">
        <v>19</v>
      </c>
      <c r="F50" s="61">
        <v>17650</v>
      </c>
      <c r="G50" s="21">
        <v>3800</v>
      </c>
      <c r="H50" s="62" t="s">
        <v>428</v>
      </c>
      <c r="Z50" t="s">
        <v>215</v>
      </c>
      <c r="AA50" t="s">
        <v>213</v>
      </c>
    </row>
    <row r="51" spans="1:27">
      <c r="A51" s="1" t="s">
        <v>101</v>
      </c>
      <c r="B51" s="7" t="s">
        <v>111</v>
      </c>
      <c r="C51" s="9" t="s">
        <v>16</v>
      </c>
      <c r="D51" s="9" t="s">
        <v>38</v>
      </c>
      <c r="E51" s="58" t="s">
        <v>19</v>
      </c>
      <c r="F51" s="61">
        <v>17900</v>
      </c>
      <c r="G51" s="21">
        <v>4300</v>
      </c>
      <c r="H51" s="62" t="s">
        <v>428</v>
      </c>
      <c r="Z51" t="s">
        <v>216</v>
      </c>
      <c r="AA51" t="s">
        <v>214</v>
      </c>
    </row>
    <row r="52" spans="1:27">
      <c r="A52" s="1" t="s">
        <v>102</v>
      </c>
      <c r="B52" s="7" t="s">
        <v>111</v>
      </c>
      <c r="C52" s="9" t="s">
        <v>16</v>
      </c>
      <c r="D52" s="9" t="s">
        <v>38</v>
      </c>
      <c r="E52" s="58" t="s">
        <v>20</v>
      </c>
      <c r="F52" s="61">
        <v>18650</v>
      </c>
      <c r="G52" s="21">
        <v>4700</v>
      </c>
      <c r="H52" s="62" t="s">
        <v>428</v>
      </c>
      <c r="Z52" t="s">
        <v>217</v>
      </c>
      <c r="AA52" t="s">
        <v>215</v>
      </c>
    </row>
    <row r="53" spans="1:27">
      <c r="A53" s="1" t="s">
        <v>103</v>
      </c>
      <c r="B53" s="7" t="s">
        <v>111</v>
      </c>
      <c r="C53" s="9" t="s">
        <v>16</v>
      </c>
      <c r="D53" s="9" t="s">
        <v>38</v>
      </c>
      <c r="E53" s="58" t="s">
        <v>20</v>
      </c>
      <c r="F53" s="61">
        <v>19200</v>
      </c>
      <c r="G53" s="21">
        <v>5000</v>
      </c>
      <c r="H53" s="62" t="s">
        <v>428</v>
      </c>
      <c r="Z53" t="s">
        <v>218</v>
      </c>
      <c r="AA53" t="s">
        <v>216</v>
      </c>
    </row>
    <row r="54" spans="1:27">
      <c r="A54" s="1" t="s">
        <v>104</v>
      </c>
      <c r="B54" s="7" t="s">
        <v>112</v>
      </c>
      <c r="C54" s="9" t="s">
        <v>16</v>
      </c>
      <c r="D54" s="9" t="s">
        <v>38</v>
      </c>
      <c r="E54" s="58" t="s">
        <v>19</v>
      </c>
      <c r="F54" s="61">
        <v>19400</v>
      </c>
      <c r="G54" s="21">
        <v>3800</v>
      </c>
      <c r="H54" s="62" t="s">
        <v>428</v>
      </c>
      <c r="Z54" t="s">
        <v>219</v>
      </c>
      <c r="AA54" t="s">
        <v>217</v>
      </c>
    </row>
    <row r="55" spans="1:27">
      <c r="A55" s="1" t="s">
        <v>105</v>
      </c>
      <c r="B55" s="7" t="s">
        <v>112</v>
      </c>
      <c r="C55" s="9" t="s">
        <v>16</v>
      </c>
      <c r="D55" s="9" t="s">
        <v>38</v>
      </c>
      <c r="E55" s="58" t="s">
        <v>19</v>
      </c>
      <c r="F55" s="61">
        <v>19500</v>
      </c>
      <c r="G55" s="21">
        <v>4300</v>
      </c>
      <c r="H55" s="62" t="s">
        <v>428</v>
      </c>
      <c r="Z55" t="s">
        <v>220</v>
      </c>
      <c r="AA55" t="s">
        <v>218</v>
      </c>
    </row>
    <row r="56" spans="1:27">
      <c r="A56" s="1" t="s">
        <v>106</v>
      </c>
      <c r="B56" s="7" t="s">
        <v>112</v>
      </c>
      <c r="C56" s="9" t="s">
        <v>16</v>
      </c>
      <c r="D56" s="9" t="s">
        <v>38</v>
      </c>
      <c r="E56" s="58" t="s">
        <v>20</v>
      </c>
      <c r="F56" s="61">
        <v>20300</v>
      </c>
      <c r="G56" s="21">
        <v>4700</v>
      </c>
      <c r="H56" s="62" t="s">
        <v>428</v>
      </c>
      <c r="Z56" t="s">
        <v>228</v>
      </c>
      <c r="AA56" t="s">
        <v>219</v>
      </c>
    </row>
    <row r="57" spans="1:27">
      <c r="A57" s="1" t="s">
        <v>107</v>
      </c>
      <c r="B57" s="7" t="s">
        <v>112</v>
      </c>
      <c r="C57" s="9" t="s">
        <v>16</v>
      </c>
      <c r="D57" s="9" t="s">
        <v>38</v>
      </c>
      <c r="E57" s="58" t="s">
        <v>20</v>
      </c>
      <c r="F57" s="61">
        <v>20800</v>
      </c>
      <c r="G57" s="21">
        <v>5000</v>
      </c>
      <c r="H57" s="62" t="s">
        <v>428</v>
      </c>
      <c r="Z57" t="s">
        <v>229</v>
      </c>
      <c r="AA57" t="s">
        <v>220</v>
      </c>
    </row>
    <row r="58" spans="1:27">
      <c r="A58" s="1" t="s">
        <v>108</v>
      </c>
      <c r="B58" s="7" t="s">
        <v>113</v>
      </c>
      <c r="C58" s="9" t="s">
        <v>16</v>
      </c>
      <c r="D58" s="9" t="s">
        <v>38</v>
      </c>
      <c r="E58" s="58" t="s">
        <v>19</v>
      </c>
      <c r="F58" s="61">
        <v>16150</v>
      </c>
      <c r="G58" s="21">
        <v>4300</v>
      </c>
      <c r="H58" s="62" t="s">
        <v>428</v>
      </c>
      <c r="Z58" t="s">
        <v>230</v>
      </c>
      <c r="AA58" t="s">
        <v>228</v>
      </c>
    </row>
    <row r="59" spans="1:27">
      <c r="A59" s="1" t="s">
        <v>109</v>
      </c>
      <c r="B59" s="7" t="s">
        <v>113</v>
      </c>
      <c r="C59" s="9" t="s">
        <v>16</v>
      </c>
      <c r="D59" s="9" t="s">
        <v>38</v>
      </c>
      <c r="E59" s="58" t="s">
        <v>20</v>
      </c>
      <c r="F59" s="61">
        <v>17500</v>
      </c>
      <c r="G59" s="21">
        <v>5000</v>
      </c>
      <c r="H59" s="62" t="s">
        <v>428</v>
      </c>
      <c r="Z59" t="s">
        <v>231</v>
      </c>
      <c r="AA59" t="s">
        <v>229</v>
      </c>
    </row>
    <row r="60" spans="1:27">
      <c r="A60" s="1" t="s">
        <v>114</v>
      </c>
      <c r="B60" s="7" t="s">
        <v>118</v>
      </c>
      <c r="C60" s="9" t="s">
        <v>16</v>
      </c>
      <c r="D60" s="9" t="s">
        <v>38</v>
      </c>
      <c r="E60" s="58" t="s">
        <v>22</v>
      </c>
      <c r="F60" s="61">
        <v>26500</v>
      </c>
      <c r="G60" s="21">
        <v>6600</v>
      </c>
      <c r="H60" s="62" t="s">
        <v>428</v>
      </c>
      <c r="Z60" t="s">
        <v>232</v>
      </c>
      <c r="AA60" t="s">
        <v>230</v>
      </c>
    </row>
    <row r="61" spans="1:27">
      <c r="A61" s="1" t="s">
        <v>115</v>
      </c>
      <c r="B61" s="7" t="s">
        <v>118</v>
      </c>
      <c r="C61" s="9" t="s">
        <v>16</v>
      </c>
      <c r="D61" s="9" t="s">
        <v>38</v>
      </c>
      <c r="E61" s="58" t="s">
        <v>22</v>
      </c>
      <c r="F61" s="61">
        <v>27050</v>
      </c>
      <c r="G61" s="21">
        <v>6900</v>
      </c>
      <c r="H61" s="62" t="s">
        <v>428</v>
      </c>
      <c r="Z61" t="s">
        <v>233</v>
      </c>
      <c r="AA61" t="s">
        <v>231</v>
      </c>
    </row>
    <row r="62" spans="1:27">
      <c r="A62" s="1" t="s">
        <v>116</v>
      </c>
      <c r="B62" s="7" t="s">
        <v>118</v>
      </c>
      <c r="C62" s="9" t="s">
        <v>16</v>
      </c>
      <c r="D62" s="9" t="s">
        <v>38</v>
      </c>
      <c r="E62" s="58" t="s">
        <v>22</v>
      </c>
      <c r="F62" s="61">
        <v>27600</v>
      </c>
      <c r="G62" s="21">
        <v>7300</v>
      </c>
      <c r="H62" s="62" t="s">
        <v>428</v>
      </c>
      <c r="Z62" t="s">
        <v>234</v>
      </c>
      <c r="AA62" t="s">
        <v>232</v>
      </c>
    </row>
    <row r="63" spans="1:27">
      <c r="A63" s="1" t="s">
        <v>117</v>
      </c>
      <c r="B63" s="7" t="s">
        <v>118</v>
      </c>
      <c r="C63" s="9" t="s">
        <v>16</v>
      </c>
      <c r="D63" s="9" t="s">
        <v>38</v>
      </c>
      <c r="E63" s="58" t="s">
        <v>22</v>
      </c>
      <c r="F63" s="61">
        <v>28350</v>
      </c>
      <c r="G63" s="21">
        <v>7800</v>
      </c>
      <c r="H63" s="62" t="s">
        <v>428</v>
      </c>
      <c r="Z63" t="s">
        <v>235</v>
      </c>
      <c r="AA63" t="s">
        <v>233</v>
      </c>
    </row>
    <row r="64" spans="1:27">
      <c r="A64" s="1" t="s">
        <v>119</v>
      </c>
      <c r="B64" s="7" t="s">
        <v>123</v>
      </c>
      <c r="C64" s="9" t="s">
        <v>16</v>
      </c>
      <c r="D64" s="9" t="s">
        <v>38</v>
      </c>
      <c r="E64" s="58" t="s">
        <v>22</v>
      </c>
      <c r="F64" s="61">
        <v>27200</v>
      </c>
      <c r="G64" s="21">
        <v>6600</v>
      </c>
      <c r="H64" s="62" t="s">
        <v>428</v>
      </c>
      <c r="Z64" t="s">
        <v>236</v>
      </c>
      <c r="AA64" t="s">
        <v>234</v>
      </c>
    </row>
    <row r="65" spans="1:27">
      <c r="A65" s="1" t="s">
        <v>120</v>
      </c>
      <c r="B65" s="7" t="s">
        <v>123</v>
      </c>
      <c r="C65" s="9" t="s">
        <v>16</v>
      </c>
      <c r="D65" s="9" t="s">
        <v>38</v>
      </c>
      <c r="E65" s="58" t="s">
        <v>22</v>
      </c>
      <c r="F65" s="61">
        <v>27750</v>
      </c>
      <c r="G65" s="21">
        <v>6900</v>
      </c>
      <c r="H65" s="62" t="s">
        <v>428</v>
      </c>
      <c r="Z65" t="s">
        <v>237</v>
      </c>
      <c r="AA65" t="s">
        <v>235</v>
      </c>
    </row>
    <row r="66" spans="1:27">
      <c r="A66" s="1" t="s">
        <v>121</v>
      </c>
      <c r="B66" s="7" t="s">
        <v>123</v>
      </c>
      <c r="C66" s="9" t="s">
        <v>16</v>
      </c>
      <c r="D66" s="9" t="s">
        <v>38</v>
      </c>
      <c r="E66" s="58" t="s">
        <v>22</v>
      </c>
      <c r="F66" s="61">
        <v>28300</v>
      </c>
      <c r="G66" s="21">
        <v>7300</v>
      </c>
      <c r="H66" s="62" t="s">
        <v>428</v>
      </c>
      <c r="Z66" t="s">
        <v>242</v>
      </c>
      <c r="AA66" t="s">
        <v>236</v>
      </c>
    </row>
    <row r="67" spans="1:27">
      <c r="A67" s="1" t="s">
        <v>122</v>
      </c>
      <c r="B67" s="7" t="s">
        <v>123</v>
      </c>
      <c r="C67" s="9" t="s">
        <v>16</v>
      </c>
      <c r="D67" s="9" t="s">
        <v>38</v>
      </c>
      <c r="E67" s="58" t="s">
        <v>22</v>
      </c>
      <c r="F67" s="61">
        <v>29050</v>
      </c>
      <c r="G67" s="21">
        <v>7800</v>
      </c>
      <c r="H67" s="62" t="s">
        <v>428</v>
      </c>
      <c r="Z67" t="s">
        <v>243</v>
      </c>
      <c r="AA67" t="s">
        <v>237</v>
      </c>
    </row>
    <row r="68" spans="1:27">
      <c r="A68" s="1" t="s">
        <v>124</v>
      </c>
      <c r="B68" s="1" t="s">
        <v>131</v>
      </c>
      <c r="C68" s="9" t="s">
        <v>16</v>
      </c>
      <c r="D68" s="9" t="s">
        <v>38</v>
      </c>
      <c r="E68" s="58" t="s">
        <v>22</v>
      </c>
      <c r="F68" s="61">
        <v>23500</v>
      </c>
      <c r="G68" s="21">
        <v>6600</v>
      </c>
      <c r="H68" s="62" t="s">
        <v>428</v>
      </c>
      <c r="Z68" t="s">
        <v>244</v>
      </c>
      <c r="AA68" t="s">
        <v>240</v>
      </c>
    </row>
    <row r="69" spans="1:27">
      <c r="A69" s="1" t="s">
        <v>125</v>
      </c>
      <c r="B69" s="1" t="s">
        <v>131</v>
      </c>
      <c r="C69" s="9" t="s">
        <v>16</v>
      </c>
      <c r="D69" s="9" t="s">
        <v>38</v>
      </c>
      <c r="E69" s="58" t="s">
        <v>22</v>
      </c>
      <c r="F69" s="61">
        <v>24050</v>
      </c>
      <c r="G69" s="21">
        <v>6900</v>
      </c>
      <c r="H69" s="62" t="s">
        <v>428</v>
      </c>
      <c r="AA69" t="s">
        <v>241</v>
      </c>
    </row>
    <row r="70" spans="1:27">
      <c r="A70" s="1" t="s">
        <v>126</v>
      </c>
      <c r="B70" s="1" t="s">
        <v>131</v>
      </c>
      <c r="C70" s="9" t="s">
        <v>16</v>
      </c>
      <c r="D70" s="9" t="s">
        <v>38</v>
      </c>
      <c r="E70" s="58" t="s">
        <v>22</v>
      </c>
      <c r="F70" s="61">
        <v>24600</v>
      </c>
      <c r="G70" s="21">
        <v>7300</v>
      </c>
      <c r="H70" s="62" t="s">
        <v>428</v>
      </c>
      <c r="AA70" t="s">
        <v>242</v>
      </c>
    </row>
    <row r="71" spans="1:27">
      <c r="A71" s="1" t="s">
        <v>127</v>
      </c>
      <c r="B71" s="1" t="s">
        <v>131</v>
      </c>
      <c r="C71" s="9" t="s">
        <v>16</v>
      </c>
      <c r="D71" s="9" t="s">
        <v>38</v>
      </c>
      <c r="E71" s="58" t="s">
        <v>22</v>
      </c>
      <c r="F71" s="61">
        <v>25400</v>
      </c>
      <c r="G71" s="21">
        <v>7800</v>
      </c>
      <c r="H71" s="62" t="s">
        <v>428</v>
      </c>
      <c r="AA71" t="s">
        <v>243</v>
      </c>
    </row>
    <row r="72" spans="1:27">
      <c r="A72" s="1" t="s">
        <v>128</v>
      </c>
      <c r="B72" s="1" t="s">
        <v>132</v>
      </c>
      <c r="C72" s="9" t="s">
        <v>16</v>
      </c>
      <c r="D72" s="9" t="s">
        <v>38</v>
      </c>
      <c r="E72" s="58" t="s">
        <v>22</v>
      </c>
      <c r="F72" s="61">
        <v>26400</v>
      </c>
      <c r="G72" s="21">
        <v>6600</v>
      </c>
      <c r="H72" s="62" t="s">
        <v>428</v>
      </c>
      <c r="AA72" t="s">
        <v>244</v>
      </c>
    </row>
    <row r="73" spans="1:27">
      <c r="A73" s="1" t="s">
        <v>129</v>
      </c>
      <c r="B73" s="1" t="s">
        <v>132</v>
      </c>
      <c r="C73" s="9" t="s">
        <v>16</v>
      </c>
      <c r="D73" s="9" t="s">
        <v>38</v>
      </c>
      <c r="E73" s="58" t="s">
        <v>22</v>
      </c>
      <c r="F73" s="61">
        <v>26900</v>
      </c>
      <c r="G73" s="21">
        <v>6900</v>
      </c>
      <c r="H73" s="62" t="s">
        <v>428</v>
      </c>
    </row>
    <row r="74" spans="1:27">
      <c r="A74" s="1" t="s">
        <v>130</v>
      </c>
      <c r="B74" s="1" t="s">
        <v>132</v>
      </c>
      <c r="C74" s="9" t="s">
        <v>16</v>
      </c>
      <c r="D74" s="9" t="s">
        <v>38</v>
      </c>
      <c r="E74" s="58" t="s">
        <v>22</v>
      </c>
      <c r="F74" s="61">
        <v>27400</v>
      </c>
      <c r="G74" s="21">
        <v>7300</v>
      </c>
      <c r="H74" s="62" t="s">
        <v>428</v>
      </c>
    </row>
    <row r="75" spans="1:27">
      <c r="A75" s="6" t="s">
        <v>133</v>
      </c>
      <c r="B75" s="1" t="s">
        <v>152</v>
      </c>
      <c r="C75" s="9" t="s">
        <v>16</v>
      </c>
      <c r="D75" s="9" t="s">
        <v>38</v>
      </c>
      <c r="E75" s="58" t="s">
        <v>24</v>
      </c>
      <c r="F75" s="61">
        <v>38100</v>
      </c>
      <c r="G75" s="21">
        <v>9600</v>
      </c>
      <c r="H75" s="62" t="s">
        <v>428</v>
      </c>
    </row>
    <row r="76" spans="1:27">
      <c r="A76" s="1" t="s">
        <v>134</v>
      </c>
      <c r="B76" s="1" t="s">
        <v>152</v>
      </c>
      <c r="C76" s="9" t="s">
        <v>16</v>
      </c>
      <c r="D76" s="9" t="s">
        <v>38</v>
      </c>
      <c r="E76" s="58" t="s">
        <v>24</v>
      </c>
      <c r="F76" s="61">
        <v>39000</v>
      </c>
      <c r="G76" s="21">
        <v>10100</v>
      </c>
      <c r="H76" s="62" t="s">
        <v>428</v>
      </c>
    </row>
    <row r="77" spans="1:27">
      <c r="A77" s="1" t="s">
        <v>135</v>
      </c>
      <c r="B77" s="1" t="s">
        <v>152</v>
      </c>
      <c r="C77" s="9" t="s">
        <v>16</v>
      </c>
      <c r="D77" s="9" t="s">
        <v>38</v>
      </c>
      <c r="E77" s="58" t="s">
        <v>24</v>
      </c>
      <c r="F77" s="61">
        <v>39800</v>
      </c>
      <c r="G77" s="21">
        <v>10800</v>
      </c>
      <c r="H77" s="62" t="s">
        <v>428</v>
      </c>
    </row>
    <row r="78" spans="1:27">
      <c r="A78" s="1" t="s">
        <v>136</v>
      </c>
      <c r="B78" s="1" t="s">
        <v>152</v>
      </c>
      <c r="C78" s="9" t="s">
        <v>16</v>
      </c>
      <c r="D78" s="9" t="s">
        <v>38</v>
      </c>
      <c r="E78" s="58" t="s">
        <v>297</v>
      </c>
      <c r="F78" s="61">
        <v>48950</v>
      </c>
      <c r="G78" s="21">
        <v>12600</v>
      </c>
      <c r="H78" s="62" t="s">
        <v>428</v>
      </c>
    </row>
    <row r="79" spans="1:27">
      <c r="A79" s="1" t="s">
        <v>137</v>
      </c>
      <c r="B79" s="1" t="s">
        <v>152</v>
      </c>
      <c r="C79" s="9" t="s">
        <v>16</v>
      </c>
      <c r="D79" s="9" t="s">
        <v>38</v>
      </c>
      <c r="E79" s="58" t="s">
        <v>298</v>
      </c>
      <c r="F79" s="61">
        <v>52400</v>
      </c>
      <c r="G79" s="21">
        <v>13900</v>
      </c>
      <c r="H79" s="62" t="s">
        <v>428</v>
      </c>
    </row>
    <row r="80" spans="1:27">
      <c r="A80" s="6" t="s">
        <v>21</v>
      </c>
      <c r="B80" s="1" t="s">
        <v>153</v>
      </c>
      <c r="C80" s="9" t="s">
        <v>16</v>
      </c>
      <c r="D80" s="9" t="s">
        <v>38</v>
      </c>
      <c r="E80" s="58" t="s">
        <v>24</v>
      </c>
      <c r="F80" s="61">
        <v>44850</v>
      </c>
      <c r="G80" s="21">
        <v>9600</v>
      </c>
      <c r="H80" s="62" t="s">
        <v>428</v>
      </c>
    </row>
    <row r="81" spans="1:8">
      <c r="A81" s="1" t="s">
        <v>138</v>
      </c>
      <c r="B81" s="1" t="s">
        <v>153</v>
      </c>
      <c r="C81" s="9" t="s">
        <v>16</v>
      </c>
      <c r="D81" s="9" t="s">
        <v>38</v>
      </c>
      <c r="E81" s="58" t="s">
        <v>24</v>
      </c>
      <c r="F81" s="61">
        <v>45750</v>
      </c>
      <c r="G81" s="21">
        <v>10100</v>
      </c>
      <c r="H81" s="62" t="s">
        <v>428</v>
      </c>
    </row>
    <row r="82" spans="1:8">
      <c r="A82" s="1" t="s">
        <v>23</v>
      </c>
      <c r="B82" s="1" t="s">
        <v>153</v>
      </c>
      <c r="C82" s="9" t="s">
        <v>16</v>
      </c>
      <c r="D82" s="9" t="s">
        <v>38</v>
      </c>
      <c r="E82" s="58" t="s">
        <v>24</v>
      </c>
      <c r="F82" s="61">
        <v>46500</v>
      </c>
      <c r="G82" s="21">
        <v>10800</v>
      </c>
      <c r="H82" s="62" t="s">
        <v>428</v>
      </c>
    </row>
    <row r="83" spans="1:8">
      <c r="A83" s="1" t="s">
        <v>139</v>
      </c>
      <c r="B83" s="1" t="s">
        <v>153</v>
      </c>
      <c r="C83" s="9" t="s">
        <v>16</v>
      </c>
      <c r="D83" s="9" t="s">
        <v>38</v>
      </c>
      <c r="E83" s="58" t="s">
        <v>297</v>
      </c>
      <c r="F83" s="61">
        <v>55650</v>
      </c>
      <c r="G83" s="21">
        <v>12600</v>
      </c>
      <c r="H83" s="62" t="s">
        <v>428</v>
      </c>
    </row>
    <row r="84" spans="1:8">
      <c r="A84" s="1" t="s">
        <v>140</v>
      </c>
      <c r="B84" s="1" t="s">
        <v>153</v>
      </c>
      <c r="C84" s="9" t="s">
        <v>16</v>
      </c>
      <c r="D84" s="9" t="s">
        <v>38</v>
      </c>
      <c r="E84" s="58" t="s">
        <v>298</v>
      </c>
      <c r="F84" s="61">
        <v>59200</v>
      </c>
      <c r="G84" s="21">
        <v>13900</v>
      </c>
      <c r="H84" s="62" t="s">
        <v>428</v>
      </c>
    </row>
    <row r="85" spans="1:8">
      <c r="A85" s="6" t="s">
        <v>141</v>
      </c>
      <c r="B85" s="1" t="s">
        <v>154</v>
      </c>
      <c r="C85" s="9" t="s">
        <v>16</v>
      </c>
      <c r="D85" s="9" t="s">
        <v>38</v>
      </c>
      <c r="E85" s="58" t="s">
        <v>24</v>
      </c>
      <c r="F85" s="61">
        <v>59320</v>
      </c>
      <c r="G85" s="21">
        <v>9600</v>
      </c>
      <c r="H85" s="62" t="s">
        <v>421</v>
      </c>
    </row>
    <row r="86" spans="1:8">
      <c r="A86" s="1" t="s">
        <v>142</v>
      </c>
      <c r="B86" s="1" t="s">
        <v>154</v>
      </c>
      <c r="C86" s="9" t="s">
        <v>16</v>
      </c>
      <c r="D86" s="9" t="s">
        <v>38</v>
      </c>
      <c r="E86" s="58" t="s">
        <v>24</v>
      </c>
      <c r="F86" s="61">
        <v>60220</v>
      </c>
      <c r="G86" s="21">
        <v>10100</v>
      </c>
      <c r="H86" s="62" t="s">
        <v>421</v>
      </c>
    </row>
    <row r="87" spans="1:8">
      <c r="A87" s="1" t="s">
        <v>143</v>
      </c>
      <c r="B87" s="1" t="s">
        <v>154</v>
      </c>
      <c r="C87" s="9" t="s">
        <v>16</v>
      </c>
      <c r="D87" s="9" t="s">
        <v>38</v>
      </c>
      <c r="E87" s="58" t="s">
        <v>24</v>
      </c>
      <c r="F87" s="61">
        <v>61000</v>
      </c>
      <c r="G87" s="21">
        <v>10800</v>
      </c>
      <c r="H87" s="62" t="s">
        <v>421</v>
      </c>
    </row>
    <row r="88" spans="1:8">
      <c r="A88" s="1" t="s">
        <v>144</v>
      </c>
      <c r="B88" s="1" t="s">
        <v>154</v>
      </c>
      <c r="C88" s="9" t="s">
        <v>16</v>
      </c>
      <c r="D88" s="9" t="s">
        <v>38</v>
      </c>
      <c r="E88" s="58" t="s">
        <v>297</v>
      </c>
      <c r="F88" s="61">
        <v>70650</v>
      </c>
      <c r="G88" s="21">
        <v>12600</v>
      </c>
      <c r="H88" s="62" t="s">
        <v>421</v>
      </c>
    </row>
    <row r="89" spans="1:8">
      <c r="A89" s="1" t="s">
        <v>145</v>
      </c>
      <c r="B89" s="1" t="s">
        <v>154</v>
      </c>
      <c r="C89" s="9" t="s">
        <v>16</v>
      </c>
      <c r="D89" s="9" t="s">
        <v>38</v>
      </c>
      <c r="E89" s="58" t="s">
        <v>298</v>
      </c>
      <c r="F89" s="61">
        <v>74200</v>
      </c>
      <c r="G89" s="21">
        <v>13900</v>
      </c>
      <c r="H89" s="62" t="s">
        <v>421</v>
      </c>
    </row>
    <row r="90" spans="1:8">
      <c r="A90" s="6" t="s">
        <v>146</v>
      </c>
      <c r="B90" s="6" t="s">
        <v>155</v>
      </c>
      <c r="C90" s="9" t="s">
        <v>16</v>
      </c>
      <c r="D90" s="9" t="s">
        <v>38</v>
      </c>
      <c r="E90" s="58" t="s">
        <v>24</v>
      </c>
      <c r="F90" s="61">
        <v>35650</v>
      </c>
      <c r="G90" s="21">
        <v>9600</v>
      </c>
      <c r="H90" s="62" t="s">
        <v>428</v>
      </c>
    </row>
    <row r="91" spans="1:8">
      <c r="A91" s="6" t="s">
        <v>147</v>
      </c>
      <c r="B91" s="6" t="s">
        <v>155</v>
      </c>
      <c r="C91" s="9" t="s">
        <v>16</v>
      </c>
      <c r="D91" s="9" t="s">
        <v>38</v>
      </c>
      <c r="E91" s="58" t="s">
        <v>24</v>
      </c>
      <c r="F91" s="61">
        <v>36600</v>
      </c>
      <c r="G91" s="21">
        <v>10100</v>
      </c>
      <c r="H91" s="62" t="s">
        <v>428</v>
      </c>
    </row>
    <row r="92" spans="1:8">
      <c r="A92" s="6" t="s">
        <v>148</v>
      </c>
      <c r="B92" s="6" t="s">
        <v>155</v>
      </c>
      <c r="C92" s="9" t="s">
        <v>16</v>
      </c>
      <c r="D92" s="9" t="s">
        <v>38</v>
      </c>
      <c r="E92" s="58" t="s">
        <v>24</v>
      </c>
      <c r="F92" s="61">
        <v>37350</v>
      </c>
      <c r="G92" s="21">
        <v>10800</v>
      </c>
      <c r="H92" s="62" t="s">
        <v>428</v>
      </c>
    </row>
    <row r="93" spans="1:8">
      <c r="A93" s="6" t="s">
        <v>149</v>
      </c>
      <c r="B93" s="6" t="s">
        <v>156</v>
      </c>
      <c r="C93" s="9" t="s">
        <v>16</v>
      </c>
      <c r="D93" s="9" t="s">
        <v>38</v>
      </c>
      <c r="E93" s="58" t="s">
        <v>24</v>
      </c>
      <c r="F93" s="61">
        <v>36400</v>
      </c>
      <c r="G93" s="21">
        <v>9600</v>
      </c>
      <c r="H93" s="62" t="s">
        <v>428</v>
      </c>
    </row>
    <row r="94" spans="1:8">
      <c r="A94" s="6" t="s">
        <v>150</v>
      </c>
      <c r="B94" s="6" t="s">
        <v>156</v>
      </c>
      <c r="C94" s="9" t="s">
        <v>16</v>
      </c>
      <c r="D94" s="9" t="s">
        <v>38</v>
      </c>
      <c r="E94" s="58" t="s">
        <v>24</v>
      </c>
      <c r="F94" s="61">
        <v>37350</v>
      </c>
      <c r="G94" s="21">
        <v>10100</v>
      </c>
      <c r="H94" s="62" t="s">
        <v>428</v>
      </c>
    </row>
    <row r="95" spans="1:8">
      <c r="A95" s="6" t="s">
        <v>151</v>
      </c>
      <c r="B95" s="6" t="s">
        <v>156</v>
      </c>
      <c r="C95" s="9" t="s">
        <v>16</v>
      </c>
      <c r="D95" s="9" t="s">
        <v>38</v>
      </c>
      <c r="E95" s="58" t="s">
        <v>24</v>
      </c>
      <c r="F95" s="61">
        <v>38100</v>
      </c>
      <c r="G95" s="21">
        <v>10800</v>
      </c>
      <c r="H95" s="62" t="s">
        <v>428</v>
      </c>
    </row>
    <row r="96" spans="1:8">
      <c r="A96" s="10" t="s">
        <v>25</v>
      </c>
      <c r="B96" s="7" t="s">
        <v>159</v>
      </c>
      <c r="C96" s="9" t="s">
        <v>26</v>
      </c>
      <c r="D96" s="9" t="s">
        <v>42</v>
      </c>
      <c r="E96" s="58" t="s">
        <v>17</v>
      </c>
      <c r="F96" s="65">
        <v>13150</v>
      </c>
      <c r="G96" s="21">
        <v>3100</v>
      </c>
      <c r="H96" s="62" t="s">
        <v>428</v>
      </c>
    </row>
    <row r="97" spans="1:8">
      <c r="A97" s="10" t="s">
        <v>157</v>
      </c>
      <c r="B97" s="7" t="s">
        <v>159</v>
      </c>
      <c r="C97" s="9" t="s">
        <v>26</v>
      </c>
      <c r="D97" s="9" t="s">
        <v>42</v>
      </c>
      <c r="E97" s="58" t="s">
        <v>17</v>
      </c>
      <c r="F97" s="65">
        <v>13500</v>
      </c>
      <c r="G97" s="21">
        <v>3200</v>
      </c>
      <c r="H97" s="62" t="s">
        <v>428</v>
      </c>
    </row>
    <row r="98" spans="1:8">
      <c r="A98" s="10" t="s">
        <v>27</v>
      </c>
      <c r="B98" s="7" t="s">
        <v>160</v>
      </c>
      <c r="C98" s="9" t="s">
        <v>26</v>
      </c>
      <c r="D98" s="9" t="s">
        <v>42</v>
      </c>
      <c r="E98" s="58" t="s">
        <v>19</v>
      </c>
      <c r="F98" s="65">
        <v>14850</v>
      </c>
      <c r="G98" s="21">
        <v>3900</v>
      </c>
      <c r="H98" s="62" t="s">
        <v>428</v>
      </c>
    </row>
    <row r="99" spans="1:8">
      <c r="A99" s="10" t="s">
        <v>158</v>
      </c>
      <c r="B99" s="7" t="s">
        <v>160</v>
      </c>
      <c r="C99" s="9" t="s">
        <v>26</v>
      </c>
      <c r="D99" s="9" t="s">
        <v>42</v>
      </c>
      <c r="E99" s="58" t="s">
        <v>19</v>
      </c>
      <c r="F99" s="65">
        <v>15100</v>
      </c>
      <c r="G99" s="21">
        <v>4300</v>
      </c>
      <c r="H99" s="62" t="s">
        <v>428</v>
      </c>
    </row>
    <row r="100" spans="1:8">
      <c r="A100" s="10" t="s">
        <v>246</v>
      </c>
      <c r="B100" s="7" t="s">
        <v>161</v>
      </c>
      <c r="C100" s="9" t="s">
        <v>26</v>
      </c>
      <c r="D100" s="9" t="s">
        <v>42</v>
      </c>
      <c r="E100" s="58" t="s">
        <v>20</v>
      </c>
      <c r="F100" s="65">
        <v>18150</v>
      </c>
      <c r="G100" s="21">
        <v>4900</v>
      </c>
      <c r="H100" s="62" t="s">
        <v>428</v>
      </c>
    </row>
    <row r="101" spans="1:8">
      <c r="A101" s="10" t="s">
        <v>247</v>
      </c>
      <c r="B101" s="7" t="s">
        <v>161</v>
      </c>
      <c r="C101" s="9" t="s">
        <v>26</v>
      </c>
      <c r="D101" s="9" t="s">
        <v>42</v>
      </c>
      <c r="E101" s="58" t="s">
        <v>20</v>
      </c>
      <c r="F101" s="65">
        <v>18550</v>
      </c>
      <c r="G101" s="21">
        <v>5200</v>
      </c>
      <c r="H101" s="62" t="s">
        <v>428</v>
      </c>
    </row>
    <row r="102" spans="1:8">
      <c r="A102" s="11" t="s">
        <v>162</v>
      </c>
      <c r="B102" s="7" t="s">
        <v>166</v>
      </c>
      <c r="C102" s="9" t="s">
        <v>26</v>
      </c>
      <c r="D102" s="9" t="s">
        <v>174</v>
      </c>
      <c r="E102" s="58" t="s">
        <v>17</v>
      </c>
      <c r="F102" s="66">
        <v>13350</v>
      </c>
      <c r="G102" s="21">
        <v>3200</v>
      </c>
      <c r="H102" s="62" t="s">
        <v>428</v>
      </c>
    </row>
    <row r="103" spans="1:8">
      <c r="A103" s="11" t="s">
        <v>163</v>
      </c>
      <c r="B103" s="7" t="s">
        <v>175</v>
      </c>
      <c r="C103" s="9" t="s">
        <v>26</v>
      </c>
      <c r="D103" s="9" t="s">
        <v>174</v>
      </c>
      <c r="E103" s="58" t="s">
        <v>17</v>
      </c>
      <c r="F103" s="66">
        <v>14850</v>
      </c>
      <c r="G103" s="21">
        <v>3200</v>
      </c>
      <c r="H103" s="62" t="s">
        <v>428</v>
      </c>
    </row>
    <row r="104" spans="1:8">
      <c r="A104" s="11" t="s">
        <v>164</v>
      </c>
      <c r="B104" s="7" t="s">
        <v>166</v>
      </c>
      <c r="C104" s="9" t="s">
        <v>26</v>
      </c>
      <c r="D104" s="9" t="s">
        <v>174</v>
      </c>
      <c r="E104" s="58" t="s">
        <v>17</v>
      </c>
      <c r="F104" s="66">
        <v>13800</v>
      </c>
      <c r="G104" s="21">
        <v>3400</v>
      </c>
      <c r="H104" s="62" t="s">
        <v>428</v>
      </c>
    </row>
    <row r="105" spans="1:8">
      <c r="A105" s="11" t="s">
        <v>165</v>
      </c>
      <c r="B105" s="7" t="s">
        <v>175</v>
      </c>
      <c r="C105" s="9" t="s">
        <v>26</v>
      </c>
      <c r="D105" s="9" t="s">
        <v>174</v>
      </c>
      <c r="E105" s="58" t="s">
        <v>17</v>
      </c>
      <c r="F105" s="66">
        <v>15250</v>
      </c>
      <c r="G105" s="21">
        <v>3400</v>
      </c>
      <c r="H105" s="62" t="s">
        <v>428</v>
      </c>
    </row>
    <row r="106" spans="1:8">
      <c r="A106" s="11" t="s">
        <v>167</v>
      </c>
      <c r="B106" s="7" t="s">
        <v>170</v>
      </c>
      <c r="C106" s="9" t="s">
        <v>26</v>
      </c>
      <c r="D106" s="9" t="s">
        <v>174</v>
      </c>
      <c r="E106" s="58" t="s">
        <v>19</v>
      </c>
      <c r="F106" s="66">
        <v>15350</v>
      </c>
      <c r="G106" s="21">
        <v>3500</v>
      </c>
      <c r="H106" s="62" t="s">
        <v>428</v>
      </c>
    </row>
    <row r="107" spans="1:8">
      <c r="A107" s="11" t="s">
        <v>168</v>
      </c>
      <c r="B107" s="7" t="s">
        <v>176</v>
      </c>
      <c r="C107" s="9" t="s">
        <v>26</v>
      </c>
      <c r="D107" s="9" t="s">
        <v>174</v>
      </c>
      <c r="E107" s="58" t="s">
        <v>19</v>
      </c>
      <c r="F107" s="66">
        <v>17150</v>
      </c>
      <c r="G107" s="21">
        <v>3500</v>
      </c>
      <c r="H107" s="62" t="s">
        <v>428</v>
      </c>
    </row>
    <row r="108" spans="1:8">
      <c r="A108" s="11" t="s">
        <v>169</v>
      </c>
      <c r="B108" s="7" t="s">
        <v>170</v>
      </c>
      <c r="C108" s="9" t="s">
        <v>26</v>
      </c>
      <c r="D108" s="9" t="s">
        <v>174</v>
      </c>
      <c r="E108" s="58" t="s">
        <v>19</v>
      </c>
      <c r="F108" s="66">
        <v>15550</v>
      </c>
      <c r="G108" s="21">
        <v>3900</v>
      </c>
      <c r="H108" s="62" t="s">
        <v>428</v>
      </c>
    </row>
    <row r="109" spans="1:8">
      <c r="A109" s="11" t="s">
        <v>28</v>
      </c>
      <c r="B109" s="7" t="s">
        <v>176</v>
      </c>
      <c r="C109" s="9" t="s">
        <v>26</v>
      </c>
      <c r="D109" s="9" t="s">
        <v>174</v>
      </c>
      <c r="E109" s="58" t="s">
        <v>19</v>
      </c>
      <c r="F109" s="66">
        <v>17350</v>
      </c>
      <c r="G109" s="21">
        <v>3900</v>
      </c>
      <c r="H109" s="62" t="s">
        <v>428</v>
      </c>
    </row>
    <row r="110" spans="1:8">
      <c r="A110" s="11" t="s">
        <v>172</v>
      </c>
      <c r="B110" s="7" t="s">
        <v>171</v>
      </c>
      <c r="C110" s="9" t="s">
        <v>26</v>
      </c>
      <c r="D110" s="9" t="s">
        <v>174</v>
      </c>
      <c r="E110" s="58" t="s">
        <v>20</v>
      </c>
      <c r="F110" s="66">
        <v>18550</v>
      </c>
      <c r="G110" s="21">
        <v>4900</v>
      </c>
      <c r="H110" s="62" t="s">
        <v>428</v>
      </c>
    </row>
    <row r="111" spans="1:8">
      <c r="A111" s="11" t="s">
        <v>29</v>
      </c>
      <c r="B111" s="7" t="s">
        <v>177</v>
      </c>
      <c r="C111" s="9" t="s">
        <v>26</v>
      </c>
      <c r="D111" s="9" t="s">
        <v>174</v>
      </c>
      <c r="E111" s="58" t="s">
        <v>20</v>
      </c>
      <c r="F111" s="66">
        <v>21250</v>
      </c>
      <c r="G111" s="21">
        <v>4900</v>
      </c>
      <c r="H111" s="62" t="s">
        <v>428</v>
      </c>
    </row>
    <row r="112" spans="1:8">
      <c r="A112" s="11" t="s">
        <v>173</v>
      </c>
      <c r="B112" s="7" t="s">
        <v>171</v>
      </c>
      <c r="C112" s="9" t="s">
        <v>26</v>
      </c>
      <c r="D112" s="9" t="s">
        <v>174</v>
      </c>
      <c r="E112" s="58" t="s">
        <v>20</v>
      </c>
      <c r="F112" s="66">
        <v>19000</v>
      </c>
      <c r="G112" s="21">
        <v>5300</v>
      </c>
      <c r="H112" s="62" t="s">
        <v>428</v>
      </c>
    </row>
    <row r="113" spans="1:8">
      <c r="A113" s="11" t="s">
        <v>30</v>
      </c>
      <c r="B113" s="7" t="s">
        <v>177</v>
      </c>
      <c r="C113" s="9" t="s">
        <v>26</v>
      </c>
      <c r="D113" s="9" t="s">
        <v>174</v>
      </c>
      <c r="E113" s="58" t="s">
        <v>20</v>
      </c>
      <c r="F113" s="66">
        <v>21650</v>
      </c>
      <c r="G113" s="21">
        <v>5300</v>
      </c>
      <c r="H113" s="62" t="s">
        <v>428</v>
      </c>
    </row>
    <row r="114" spans="1:8">
      <c r="A114" s="11" t="s">
        <v>178</v>
      </c>
      <c r="B114" s="7" t="s">
        <v>175</v>
      </c>
      <c r="C114" s="9" t="s">
        <v>26</v>
      </c>
      <c r="D114" s="9" t="s">
        <v>38</v>
      </c>
      <c r="E114" s="58" t="s">
        <v>17</v>
      </c>
      <c r="F114" s="66">
        <v>16650</v>
      </c>
      <c r="G114" s="21">
        <v>3200</v>
      </c>
      <c r="H114" s="62" t="s">
        <v>428</v>
      </c>
    </row>
    <row r="115" spans="1:8">
      <c r="A115" s="11" t="s">
        <v>179</v>
      </c>
      <c r="B115" s="7" t="s">
        <v>175</v>
      </c>
      <c r="C115" s="9" t="s">
        <v>26</v>
      </c>
      <c r="D115" s="9" t="s">
        <v>38</v>
      </c>
      <c r="E115" s="58" t="s">
        <v>17</v>
      </c>
      <c r="F115" s="66">
        <v>16850</v>
      </c>
      <c r="G115" s="21">
        <v>3300</v>
      </c>
      <c r="H115" s="62" t="s">
        <v>428</v>
      </c>
    </row>
    <row r="116" spans="1:8">
      <c r="A116" s="11" t="s">
        <v>180</v>
      </c>
      <c r="B116" s="7" t="s">
        <v>175</v>
      </c>
      <c r="C116" s="9" t="s">
        <v>26</v>
      </c>
      <c r="D116" s="9" t="s">
        <v>38</v>
      </c>
      <c r="E116" s="58" t="s">
        <v>17</v>
      </c>
      <c r="F116" s="66">
        <v>17050</v>
      </c>
      <c r="G116" s="21">
        <v>3500</v>
      </c>
      <c r="H116" s="62" t="s">
        <v>428</v>
      </c>
    </row>
    <row r="117" spans="1:8">
      <c r="A117" s="11" t="s">
        <v>181</v>
      </c>
      <c r="B117" s="7" t="s">
        <v>175</v>
      </c>
      <c r="C117" s="9" t="s">
        <v>26</v>
      </c>
      <c r="D117" s="9" t="s">
        <v>38</v>
      </c>
      <c r="E117" s="58" t="s">
        <v>19</v>
      </c>
      <c r="F117" s="66">
        <v>17250</v>
      </c>
      <c r="G117" s="21">
        <v>3700</v>
      </c>
      <c r="H117" s="62" t="s">
        <v>428</v>
      </c>
    </row>
    <row r="118" spans="1:8">
      <c r="A118" s="9" t="s">
        <v>182</v>
      </c>
      <c r="B118" s="7" t="s">
        <v>176</v>
      </c>
      <c r="C118" s="9" t="s">
        <v>26</v>
      </c>
      <c r="D118" s="9" t="s">
        <v>38</v>
      </c>
      <c r="E118" s="58" t="s">
        <v>19</v>
      </c>
      <c r="F118" s="66">
        <v>22200</v>
      </c>
      <c r="G118" s="21">
        <v>4600</v>
      </c>
      <c r="H118" s="62" t="s">
        <v>428</v>
      </c>
    </row>
    <row r="119" spans="1:8">
      <c r="A119" s="11" t="s">
        <v>183</v>
      </c>
      <c r="B119" s="7" t="s">
        <v>177</v>
      </c>
      <c r="C119" s="9" t="s">
        <v>26</v>
      </c>
      <c r="D119" s="9" t="s">
        <v>38</v>
      </c>
      <c r="E119" s="58" t="s">
        <v>20</v>
      </c>
      <c r="F119" s="66">
        <v>26050</v>
      </c>
      <c r="G119" s="21">
        <v>5200</v>
      </c>
      <c r="H119" s="62" t="s">
        <v>428</v>
      </c>
    </row>
    <row r="120" spans="1:8">
      <c r="A120" s="9" t="s">
        <v>184</v>
      </c>
      <c r="B120" s="7" t="s">
        <v>177</v>
      </c>
      <c r="C120" s="9" t="s">
        <v>26</v>
      </c>
      <c r="D120" s="9" t="s">
        <v>38</v>
      </c>
      <c r="E120" s="58" t="s">
        <v>20</v>
      </c>
      <c r="F120" s="66">
        <v>26400</v>
      </c>
      <c r="G120" s="21">
        <v>5600</v>
      </c>
      <c r="H120" s="62" t="s">
        <v>428</v>
      </c>
    </row>
    <row r="121" spans="1:8">
      <c r="A121" s="9" t="s">
        <v>31</v>
      </c>
      <c r="B121" s="7" t="s">
        <v>186</v>
      </c>
      <c r="C121" s="9" t="s">
        <v>26</v>
      </c>
      <c r="D121" s="9" t="s">
        <v>38</v>
      </c>
      <c r="E121" s="58" t="s">
        <v>22</v>
      </c>
      <c r="F121" s="66">
        <v>38300</v>
      </c>
      <c r="G121" s="21">
        <v>7100</v>
      </c>
      <c r="H121" s="62" t="s">
        <v>428</v>
      </c>
    </row>
    <row r="122" spans="1:8">
      <c r="A122" s="9" t="s">
        <v>185</v>
      </c>
      <c r="B122" s="7" t="s">
        <v>187</v>
      </c>
      <c r="C122" s="9" t="s">
        <v>26</v>
      </c>
      <c r="D122" s="9" t="s">
        <v>38</v>
      </c>
      <c r="E122" s="58" t="s">
        <v>22</v>
      </c>
      <c r="F122" s="66">
        <v>39300</v>
      </c>
      <c r="G122" s="21">
        <v>7300</v>
      </c>
      <c r="H122" s="62" t="s">
        <v>428</v>
      </c>
    </row>
    <row r="123" spans="1:8">
      <c r="A123" s="9" t="s">
        <v>32</v>
      </c>
      <c r="B123" s="7" t="s">
        <v>187</v>
      </c>
      <c r="C123" s="9" t="s">
        <v>26</v>
      </c>
      <c r="D123" s="9" t="s">
        <v>38</v>
      </c>
      <c r="E123" s="58" t="s">
        <v>22</v>
      </c>
      <c r="F123" s="66">
        <v>39700</v>
      </c>
      <c r="G123" s="21">
        <v>7700</v>
      </c>
      <c r="H123" s="62" t="s">
        <v>428</v>
      </c>
    </row>
    <row r="124" spans="1:8">
      <c r="A124" s="9" t="s">
        <v>188</v>
      </c>
      <c r="B124" s="7" t="s">
        <v>187</v>
      </c>
      <c r="C124" s="9" t="s">
        <v>26</v>
      </c>
      <c r="D124" s="9" t="s">
        <v>38</v>
      </c>
      <c r="E124" s="58" t="s">
        <v>22</v>
      </c>
      <c r="F124" s="66">
        <v>42700</v>
      </c>
      <c r="G124" s="21">
        <v>8000</v>
      </c>
      <c r="H124" s="62" t="s">
        <v>428</v>
      </c>
    </row>
    <row r="125" spans="1:8">
      <c r="A125" s="9" t="s">
        <v>189</v>
      </c>
      <c r="B125" s="7" t="s">
        <v>187</v>
      </c>
      <c r="C125" s="9" t="s">
        <v>26</v>
      </c>
      <c r="D125" s="9" t="s">
        <v>38</v>
      </c>
      <c r="E125" s="58" t="s">
        <v>24</v>
      </c>
      <c r="F125" s="66">
        <v>60250</v>
      </c>
      <c r="G125" s="21">
        <v>10200</v>
      </c>
      <c r="H125" s="62" t="s">
        <v>428</v>
      </c>
    </row>
    <row r="126" spans="1:8">
      <c r="A126" s="9" t="s">
        <v>190</v>
      </c>
      <c r="B126" s="7" t="s">
        <v>187</v>
      </c>
      <c r="C126" s="9" t="s">
        <v>26</v>
      </c>
      <c r="D126" s="9" t="s">
        <v>38</v>
      </c>
      <c r="E126" s="58" t="s">
        <v>24</v>
      </c>
      <c r="F126" s="66">
        <v>60850</v>
      </c>
      <c r="G126" s="21">
        <v>10800</v>
      </c>
      <c r="H126" s="62" t="s">
        <v>428</v>
      </c>
    </row>
    <row r="127" spans="1:8">
      <c r="A127" s="9" t="s">
        <v>191</v>
      </c>
      <c r="B127" s="7" t="s">
        <v>193</v>
      </c>
      <c r="C127" s="9" t="s">
        <v>26</v>
      </c>
      <c r="D127" s="9" t="s">
        <v>38</v>
      </c>
      <c r="E127" s="58" t="s">
        <v>297</v>
      </c>
      <c r="F127" s="66">
        <v>74700</v>
      </c>
      <c r="G127" s="21">
        <v>13700</v>
      </c>
      <c r="H127" s="62" t="s">
        <v>428</v>
      </c>
    </row>
    <row r="128" spans="1:8">
      <c r="A128" s="9" t="s">
        <v>192</v>
      </c>
      <c r="B128" s="7" t="s">
        <v>193</v>
      </c>
      <c r="C128" s="9" t="s">
        <v>26</v>
      </c>
      <c r="D128" s="9" t="s">
        <v>38</v>
      </c>
      <c r="E128" s="58" t="s">
        <v>298</v>
      </c>
      <c r="F128" s="66">
        <v>77800</v>
      </c>
      <c r="G128" s="21">
        <v>15200</v>
      </c>
      <c r="H128" s="62" t="s">
        <v>428</v>
      </c>
    </row>
    <row r="129" spans="1:8">
      <c r="A129" s="10" t="s">
        <v>194</v>
      </c>
      <c r="B129" s="7" t="s">
        <v>198</v>
      </c>
      <c r="C129" s="9" t="s">
        <v>26</v>
      </c>
      <c r="D129" s="9" t="s">
        <v>174</v>
      </c>
      <c r="E129" s="58" t="s">
        <v>22</v>
      </c>
      <c r="F129" s="66">
        <v>35800</v>
      </c>
      <c r="G129" s="21">
        <v>6300</v>
      </c>
      <c r="H129" s="62" t="s">
        <v>428</v>
      </c>
    </row>
    <row r="130" spans="1:8">
      <c r="A130" s="10" t="s">
        <v>195</v>
      </c>
      <c r="B130" s="7" t="s">
        <v>198</v>
      </c>
      <c r="C130" s="9" t="s">
        <v>26</v>
      </c>
      <c r="D130" s="9" t="s">
        <v>174</v>
      </c>
      <c r="E130" s="58" t="s">
        <v>22</v>
      </c>
      <c r="F130" s="66">
        <v>36350</v>
      </c>
      <c r="G130" s="21">
        <v>6600</v>
      </c>
      <c r="H130" s="62" t="s">
        <v>428</v>
      </c>
    </row>
    <row r="131" spans="1:8">
      <c r="A131" s="10" t="s">
        <v>196</v>
      </c>
      <c r="B131" s="7" t="s">
        <v>198</v>
      </c>
      <c r="C131" s="9" t="s">
        <v>26</v>
      </c>
      <c r="D131" s="9" t="s">
        <v>174</v>
      </c>
      <c r="E131" s="58" t="s">
        <v>22</v>
      </c>
      <c r="F131" s="66">
        <v>36950</v>
      </c>
      <c r="G131" s="21">
        <v>7000</v>
      </c>
      <c r="H131" s="62" t="s">
        <v>428</v>
      </c>
    </row>
    <row r="132" spans="1:8">
      <c r="A132" s="10" t="s">
        <v>197</v>
      </c>
      <c r="B132" s="7" t="s">
        <v>198</v>
      </c>
      <c r="C132" s="9" t="s">
        <v>26</v>
      </c>
      <c r="D132" s="9" t="s">
        <v>174</v>
      </c>
      <c r="E132" s="58" t="s">
        <v>22</v>
      </c>
      <c r="F132" s="66">
        <v>37950</v>
      </c>
      <c r="G132" s="21">
        <v>7500</v>
      </c>
      <c r="H132" s="62" t="s">
        <v>428</v>
      </c>
    </row>
    <row r="133" spans="1:8">
      <c r="A133" s="10" t="s">
        <v>199</v>
      </c>
      <c r="B133" s="7" t="s">
        <v>203</v>
      </c>
      <c r="C133" s="9" t="s">
        <v>26</v>
      </c>
      <c r="D133" s="9" t="s">
        <v>174</v>
      </c>
      <c r="E133" s="58" t="s">
        <v>24</v>
      </c>
      <c r="F133" s="66">
        <v>59100</v>
      </c>
      <c r="G133" s="21">
        <v>10200</v>
      </c>
      <c r="H133" s="62" t="s">
        <v>428</v>
      </c>
    </row>
    <row r="134" spans="1:8">
      <c r="A134" s="9" t="s">
        <v>200</v>
      </c>
      <c r="B134" s="7" t="s">
        <v>203</v>
      </c>
      <c r="C134" s="9" t="s">
        <v>26</v>
      </c>
      <c r="D134" s="9" t="s">
        <v>174</v>
      </c>
      <c r="E134" s="58" t="s">
        <v>24</v>
      </c>
      <c r="F134" s="66">
        <v>59700</v>
      </c>
      <c r="G134" s="21">
        <v>10800</v>
      </c>
      <c r="H134" s="62" t="s">
        <v>428</v>
      </c>
    </row>
    <row r="135" spans="1:8">
      <c r="A135" s="9" t="s">
        <v>201</v>
      </c>
      <c r="B135" s="7" t="s">
        <v>204</v>
      </c>
      <c r="C135" s="9" t="s">
        <v>26</v>
      </c>
      <c r="D135" s="9" t="s">
        <v>174</v>
      </c>
      <c r="E135" s="58" t="s">
        <v>297</v>
      </c>
      <c r="F135" s="66">
        <v>71100</v>
      </c>
      <c r="G135" s="21">
        <v>13700</v>
      </c>
      <c r="H135" s="62" t="s">
        <v>428</v>
      </c>
    </row>
    <row r="136" spans="1:8">
      <c r="A136" s="9" t="s">
        <v>202</v>
      </c>
      <c r="B136" s="7" t="s">
        <v>204</v>
      </c>
      <c r="C136" s="9" t="s">
        <v>26</v>
      </c>
      <c r="D136" s="9" t="s">
        <v>174</v>
      </c>
      <c r="E136" s="58" t="s">
        <v>298</v>
      </c>
      <c r="F136" s="66">
        <v>73500</v>
      </c>
      <c r="G136" s="21">
        <v>15200</v>
      </c>
      <c r="H136" s="62" t="s">
        <v>428</v>
      </c>
    </row>
    <row r="137" spans="1:8">
      <c r="A137" s="9" t="s">
        <v>205</v>
      </c>
      <c r="B137" s="7" t="s">
        <v>221</v>
      </c>
      <c r="C137" s="9" t="s">
        <v>26</v>
      </c>
      <c r="D137" s="9" t="s">
        <v>38</v>
      </c>
      <c r="E137" s="58" t="s">
        <v>17</v>
      </c>
      <c r="F137" s="66">
        <v>15950</v>
      </c>
      <c r="G137" s="21">
        <v>3200</v>
      </c>
      <c r="H137" s="62" t="s">
        <v>424</v>
      </c>
    </row>
    <row r="138" spans="1:8">
      <c r="A138" s="9" t="s">
        <v>206</v>
      </c>
      <c r="B138" s="7" t="s">
        <v>222</v>
      </c>
      <c r="C138" s="9" t="s">
        <v>26</v>
      </c>
      <c r="D138" s="9" t="s">
        <v>38</v>
      </c>
      <c r="E138" s="58" t="s">
        <v>17</v>
      </c>
      <c r="F138" s="66">
        <v>16650</v>
      </c>
      <c r="G138" s="21">
        <v>3300</v>
      </c>
      <c r="H138" s="62" t="s">
        <v>424</v>
      </c>
    </row>
    <row r="139" spans="1:8">
      <c r="A139" s="9" t="s">
        <v>207</v>
      </c>
      <c r="B139" s="7" t="s">
        <v>222</v>
      </c>
      <c r="C139" s="9" t="s">
        <v>26</v>
      </c>
      <c r="D139" s="9" t="s">
        <v>38</v>
      </c>
      <c r="E139" s="58" t="s">
        <v>17</v>
      </c>
      <c r="F139" s="66">
        <v>16850</v>
      </c>
      <c r="G139" s="21">
        <v>3500</v>
      </c>
      <c r="H139" s="62" t="s">
        <v>424</v>
      </c>
    </row>
    <row r="140" spans="1:8">
      <c r="A140" s="9" t="s">
        <v>208</v>
      </c>
      <c r="B140" s="7" t="s">
        <v>222</v>
      </c>
      <c r="C140" s="9" t="s">
        <v>26</v>
      </c>
      <c r="D140" s="9" t="s">
        <v>38</v>
      </c>
      <c r="E140" s="58" t="s">
        <v>17</v>
      </c>
      <c r="F140" s="66">
        <v>17050</v>
      </c>
      <c r="G140" s="21">
        <v>3600</v>
      </c>
      <c r="H140" s="62" t="s">
        <v>424</v>
      </c>
    </row>
    <row r="141" spans="1:8">
      <c r="A141" s="9" t="s">
        <v>209</v>
      </c>
      <c r="B141" s="7" t="s">
        <v>222</v>
      </c>
      <c r="C141" s="9" t="s">
        <v>26</v>
      </c>
      <c r="D141" s="9" t="s">
        <v>38</v>
      </c>
      <c r="E141" s="58" t="s">
        <v>19</v>
      </c>
      <c r="F141" s="66">
        <v>17250</v>
      </c>
      <c r="G141" s="21">
        <v>3700</v>
      </c>
      <c r="H141" s="62" t="s">
        <v>424</v>
      </c>
    </row>
    <row r="142" spans="1:8">
      <c r="A142" s="9" t="s">
        <v>212</v>
      </c>
      <c r="B142" s="7" t="s">
        <v>224</v>
      </c>
      <c r="C142" s="9" t="s">
        <v>26</v>
      </c>
      <c r="D142" s="9" t="s">
        <v>42</v>
      </c>
      <c r="E142" s="58" t="s">
        <v>17</v>
      </c>
      <c r="F142" s="66">
        <v>8950</v>
      </c>
      <c r="G142" s="21">
        <v>1800</v>
      </c>
      <c r="H142" s="62" t="s">
        <v>426</v>
      </c>
    </row>
    <row r="143" spans="1:8">
      <c r="A143" s="9" t="s">
        <v>213</v>
      </c>
      <c r="B143" s="7" t="s">
        <v>224</v>
      </c>
      <c r="C143" s="9" t="s">
        <v>26</v>
      </c>
      <c r="D143" s="9" t="s">
        <v>42</v>
      </c>
      <c r="E143" s="58" t="s">
        <v>17</v>
      </c>
      <c r="F143" s="66">
        <v>9150</v>
      </c>
      <c r="G143" s="21">
        <v>2000</v>
      </c>
      <c r="H143" s="62" t="s">
        <v>426</v>
      </c>
    </row>
    <row r="144" spans="1:8">
      <c r="A144" s="9" t="s">
        <v>214</v>
      </c>
      <c r="B144" s="7" t="s">
        <v>223</v>
      </c>
      <c r="C144" s="9" t="s">
        <v>26</v>
      </c>
      <c r="D144" s="9" t="s">
        <v>42</v>
      </c>
      <c r="E144" s="58" t="s">
        <v>17</v>
      </c>
      <c r="F144" s="66">
        <v>9450</v>
      </c>
      <c r="G144" s="21">
        <v>2100</v>
      </c>
      <c r="H144" s="62" t="s">
        <v>426</v>
      </c>
    </row>
    <row r="145" spans="1:8">
      <c r="A145" s="9" t="s">
        <v>215</v>
      </c>
      <c r="B145" s="7" t="s">
        <v>225</v>
      </c>
      <c r="C145" s="9" t="s">
        <v>26</v>
      </c>
      <c r="D145" s="9"/>
      <c r="E145" s="59" t="s">
        <v>389</v>
      </c>
      <c r="F145" s="66">
        <v>21450</v>
      </c>
      <c r="G145" s="21">
        <v>3200</v>
      </c>
      <c r="H145" s="62" t="s">
        <v>428</v>
      </c>
    </row>
    <row r="146" spans="1:8">
      <c r="A146" s="9" t="s">
        <v>216</v>
      </c>
      <c r="B146" s="7" t="s">
        <v>225</v>
      </c>
      <c r="C146" s="9" t="s">
        <v>26</v>
      </c>
      <c r="D146" s="9"/>
      <c r="E146" s="58" t="s">
        <v>389</v>
      </c>
      <c r="F146" s="66">
        <v>22050</v>
      </c>
      <c r="G146" s="21">
        <v>3600</v>
      </c>
      <c r="H146" s="62" t="s">
        <v>428</v>
      </c>
    </row>
    <row r="147" spans="1:8">
      <c r="A147" s="9" t="s">
        <v>217</v>
      </c>
      <c r="B147" s="7" t="s">
        <v>226</v>
      </c>
      <c r="C147" s="9" t="s">
        <v>26</v>
      </c>
      <c r="D147" s="9"/>
      <c r="E147" s="58" t="s">
        <v>390</v>
      </c>
      <c r="F147" s="66">
        <v>26050</v>
      </c>
      <c r="G147" s="21">
        <v>3800</v>
      </c>
      <c r="H147" s="62" t="s">
        <v>428</v>
      </c>
    </row>
    <row r="148" spans="1:8">
      <c r="A148" s="9" t="s">
        <v>218</v>
      </c>
      <c r="B148" s="7" t="s">
        <v>227</v>
      </c>
      <c r="C148" s="9" t="s">
        <v>26</v>
      </c>
      <c r="D148" s="9"/>
      <c r="E148" s="58" t="s">
        <v>390</v>
      </c>
      <c r="F148" s="66">
        <v>27250</v>
      </c>
      <c r="G148" s="21">
        <v>4200</v>
      </c>
      <c r="H148" s="62" t="s">
        <v>428</v>
      </c>
    </row>
    <row r="149" spans="1:8">
      <c r="A149" s="9" t="s">
        <v>219</v>
      </c>
      <c r="B149" s="7" t="s">
        <v>226</v>
      </c>
      <c r="C149" s="9" t="s">
        <v>26</v>
      </c>
      <c r="D149" s="9"/>
      <c r="E149" s="58" t="s">
        <v>353</v>
      </c>
      <c r="F149" s="66">
        <v>27050</v>
      </c>
      <c r="G149" s="21">
        <v>4500</v>
      </c>
      <c r="H149" s="62" t="s">
        <v>428</v>
      </c>
    </row>
    <row r="150" spans="1:8">
      <c r="A150" s="9" t="s">
        <v>220</v>
      </c>
      <c r="B150" s="7" t="s">
        <v>226</v>
      </c>
      <c r="C150" s="9" t="s">
        <v>26</v>
      </c>
      <c r="D150" s="9"/>
      <c r="E150" s="59" t="s">
        <v>354</v>
      </c>
      <c r="F150" s="66">
        <v>29500</v>
      </c>
      <c r="G150" s="21">
        <v>5000</v>
      </c>
      <c r="H150" s="62" t="s">
        <v>428</v>
      </c>
    </row>
    <row r="151" spans="1:8">
      <c r="A151" s="8" t="s">
        <v>228</v>
      </c>
      <c r="B151" s="7" t="s">
        <v>238</v>
      </c>
      <c r="C151" s="9" t="s">
        <v>26</v>
      </c>
      <c r="D151" s="9" t="s">
        <v>42</v>
      </c>
      <c r="E151" s="58" t="s">
        <v>17</v>
      </c>
      <c r="F151" s="66">
        <v>10880</v>
      </c>
      <c r="G151" s="21">
        <v>3400</v>
      </c>
      <c r="H151" s="62" t="s">
        <v>428</v>
      </c>
    </row>
    <row r="152" spans="1:8">
      <c r="A152" s="8" t="s">
        <v>229</v>
      </c>
      <c r="B152" s="7" t="s">
        <v>238</v>
      </c>
      <c r="C152" s="9" t="s">
        <v>26</v>
      </c>
      <c r="D152" s="9" t="s">
        <v>42</v>
      </c>
      <c r="E152" s="58" t="s">
        <v>17</v>
      </c>
      <c r="F152" s="66">
        <v>11280</v>
      </c>
      <c r="G152" s="21">
        <v>3500</v>
      </c>
      <c r="H152" s="62" t="s">
        <v>428</v>
      </c>
    </row>
    <row r="153" spans="1:8">
      <c r="A153" s="8" t="s">
        <v>230</v>
      </c>
      <c r="B153" s="7" t="s">
        <v>238</v>
      </c>
      <c r="C153" s="9" t="s">
        <v>26</v>
      </c>
      <c r="D153" s="9" t="s">
        <v>42</v>
      </c>
      <c r="E153" s="58" t="s">
        <v>19</v>
      </c>
      <c r="F153" s="66">
        <v>12160</v>
      </c>
      <c r="G153" s="21">
        <v>4300</v>
      </c>
      <c r="H153" s="62" t="s">
        <v>428</v>
      </c>
    </row>
    <row r="154" spans="1:8">
      <c r="A154" s="8" t="s">
        <v>231</v>
      </c>
      <c r="B154" s="7" t="s">
        <v>238</v>
      </c>
      <c r="C154" s="9" t="s">
        <v>26</v>
      </c>
      <c r="D154" s="9" t="s">
        <v>42</v>
      </c>
      <c r="E154" s="58" t="s">
        <v>19</v>
      </c>
      <c r="F154" s="66">
        <v>12360</v>
      </c>
      <c r="G154" s="21">
        <v>4500</v>
      </c>
      <c r="H154" s="62" t="s">
        <v>428</v>
      </c>
    </row>
    <row r="155" spans="1:8">
      <c r="A155" s="8" t="s">
        <v>232</v>
      </c>
      <c r="B155" s="7" t="s">
        <v>238</v>
      </c>
      <c r="C155" s="9" t="s">
        <v>26</v>
      </c>
      <c r="D155" s="9" t="s">
        <v>42</v>
      </c>
      <c r="E155" s="58" t="s">
        <v>20</v>
      </c>
      <c r="F155" s="66">
        <v>15000</v>
      </c>
      <c r="G155" s="21">
        <v>5400</v>
      </c>
      <c r="H155" s="62" t="s">
        <v>428</v>
      </c>
    </row>
    <row r="156" spans="1:8">
      <c r="A156" s="8" t="s">
        <v>233</v>
      </c>
      <c r="B156" s="7" t="s">
        <v>238</v>
      </c>
      <c r="C156" s="9" t="s">
        <v>26</v>
      </c>
      <c r="D156" s="9" t="s">
        <v>42</v>
      </c>
      <c r="E156" s="58" t="s">
        <v>20</v>
      </c>
      <c r="F156" s="66">
        <v>15400</v>
      </c>
      <c r="G156" s="21">
        <v>5700</v>
      </c>
      <c r="H156" s="62" t="s">
        <v>428</v>
      </c>
    </row>
    <row r="157" spans="1:8">
      <c r="A157" s="2" t="s">
        <v>234</v>
      </c>
      <c r="B157" s="7" t="s">
        <v>239</v>
      </c>
      <c r="C157" s="9" t="s">
        <v>26</v>
      </c>
      <c r="D157" s="9" t="s">
        <v>38</v>
      </c>
      <c r="E157" s="58" t="s">
        <v>17</v>
      </c>
      <c r="F157" s="66">
        <v>13890</v>
      </c>
      <c r="G157" s="21">
        <v>3300</v>
      </c>
      <c r="H157" s="62" t="s">
        <v>424</v>
      </c>
    </row>
    <row r="158" spans="1:8">
      <c r="A158" s="2" t="s">
        <v>235</v>
      </c>
      <c r="B158" s="7" t="s">
        <v>239</v>
      </c>
      <c r="C158" s="9" t="s">
        <v>26</v>
      </c>
      <c r="D158" s="9" t="s">
        <v>38</v>
      </c>
      <c r="E158" s="58" t="s">
        <v>17</v>
      </c>
      <c r="F158" s="66">
        <v>14040</v>
      </c>
      <c r="G158" s="21">
        <v>3500</v>
      </c>
      <c r="H158" s="62" t="s">
        <v>424</v>
      </c>
    </row>
    <row r="159" spans="1:8">
      <c r="A159" s="2" t="s">
        <v>236</v>
      </c>
      <c r="B159" s="7" t="s">
        <v>239</v>
      </c>
      <c r="C159" s="9" t="s">
        <v>26</v>
      </c>
      <c r="D159" s="9" t="s">
        <v>38</v>
      </c>
      <c r="E159" s="58" t="s">
        <v>17</v>
      </c>
      <c r="F159" s="66">
        <v>14440</v>
      </c>
      <c r="G159" s="21">
        <v>3600</v>
      </c>
      <c r="H159" s="62" t="s">
        <v>424</v>
      </c>
    </row>
    <row r="160" spans="1:8">
      <c r="A160" s="2" t="s">
        <v>237</v>
      </c>
      <c r="B160" s="7" t="s">
        <v>239</v>
      </c>
      <c r="C160" s="9" t="s">
        <v>26</v>
      </c>
      <c r="D160" s="9" t="s">
        <v>38</v>
      </c>
      <c r="E160" s="58" t="s">
        <v>19</v>
      </c>
      <c r="F160" s="66">
        <v>14970</v>
      </c>
      <c r="G160" s="21">
        <v>3700</v>
      </c>
      <c r="H160" s="62" t="s">
        <v>424</v>
      </c>
    </row>
    <row r="161" spans="1:8">
      <c r="A161" s="1" t="s">
        <v>242</v>
      </c>
      <c r="B161" s="7" t="s">
        <v>245</v>
      </c>
      <c r="C161" s="9" t="s">
        <v>26</v>
      </c>
      <c r="D161" s="9" t="s">
        <v>42</v>
      </c>
      <c r="E161" s="58" t="s">
        <v>17</v>
      </c>
      <c r="F161" s="66">
        <v>8020</v>
      </c>
      <c r="G161" s="21">
        <v>1900</v>
      </c>
      <c r="H161" s="62" t="s">
        <v>426</v>
      </c>
    </row>
    <row r="162" spans="1:8">
      <c r="A162" s="1" t="s">
        <v>243</v>
      </c>
      <c r="B162" s="7" t="s">
        <v>245</v>
      </c>
      <c r="C162" s="9" t="s">
        <v>26</v>
      </c>
      <c r="D162" s="9" t="s">
        <v>42</v>
      </c>
      <c r="E162" s="58" t="s">
        <v>17</v>
      </c>
      <c r="F162" s="66">
        <v>8040</v>
      </c>
      <c r="G162" s="21">
        <v>2100</v>
      </c>
      <c r="H162" s="62" t="s">
        <v>426</v>
      </c>
    </row>
    <row r="163" spans="1:8">
      <c r="A163" s="1" t="s">
        <v>244</v>
      </c>
      <c r="B163" s="7" t="s">
        <v>245</v>
      </c>
      <c r="C163" s="9" t="s">
        <v>26</v>
      </c>
      <c r="D163" s="9" t="s">
        <v>42</v>
      </c>
      <c r="E163" s="58" t="s">
        <v>17</v>
      </c>
      <c r="F163" s="66">
        <v>8080</v>
      </c>
      <c r="G163" s="21">
        <v>2200</v>
      </c>
      <c r="H163" s="62" t="s">
        <v>426</v>
      </c>
    </row>
  </sheetData>
  <phoneticPr fontId="11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Y73"/>
  <sheetViews>
    <sheetView topLeftCell="A25" zoomScale="55" zoomScaleNormal="55" workbookViewId="0">
      <selection activeCell="A34" sqref="A34"/>
    </sheetView>
  </sheetViews>
  <sheetFormatPr defaultRowHeight="15.6"/>
  <cols>
    <col min="1" max="1" width="12" bestFit="1" customWidth="1"/>
    <col min="16" max="17" width="11.6640625" style="32" bestFit="1" customWidth="1"/>
    <col min="18" max="18" width="12.33203125" customWidth="1"/>
  </cols>
  <sheetData>
    <row r="1" spans="1:25" ht="16.2" thickBot="1">
      <c r="A1" s="153" t="s">
        <v>33</v>
      </c>
      <c r="B1" s="13" t="s">
        <v>248</v>
      </c>
      <c r="C1" s="13" t="s">
        <v>249</v>
      </c>
      <c r="D1" s="13" t="s">
        <v>248</v>
      </c>
      <c r="E1" s="13" t="s">
        <v>249</v>
      </c>
      <c r="F1" s="13" t="s">
        <v>248</v>
      </c>
      <c r="G1" s="13" t="s">
        <v>249</v>
      </c>
      <c r="H1" s="13" t="s">
        <v>248</v>
      </c>
      <c r="I1" s="13" t="s">
        <v>249</v>
      </c>
      <c r="J1" s="13" t="s">
        <v>248</v>
      </c>
      <c r="K1" s="13" t="s">
        <v>249</v>
      </c>
      <c r="L1" s="13" t="s">
        <v>248</v>
      </c>
      <c r="M1" s="13" t="s">
        <v>249</v>
      </c>
      <c r="N1" s="13" t="s">
        <v>248</v>
      </c>
      <c r="O1" s="13" t="s">
        <v>249</v>
      </c>
      <c r="P1" s="27" t="s">
        <v>299</v>
      </c>
      <c r="Q1" s="27" t="s">
        <v>299</v>
      </c>
      <c r="R1" s="13" t="s">
        <v>300</v>
      </c>
      <c r="S1" s="13" t="s">
        <v>300</v>
      </c>
    </row>
    <row r="2" spans="1:25" ht="16.2" thickBot="1">
      <c r="A2" s="153"/>
      <c r="B2" s="14" t="s">
        <v>17</v>
      </c>
      <c r="C2" s="14" t="s">
        <v>17</v>
      </c>
      <c r="D2" s="14" t="s">
        <v>19</v>
      </c>
      <c r="E2" s="14" t="s">
        <v>19</v>
      </c>
      <c r="F2" s="14" t="s">
        <v>20</v>
      </c>
      <c r="G2" s="14" t="s">
        <v>20</v>
      </c>
      <c r="H2" s="14" t="s">
        <v>22</v>
      </c>
      <c r="I2" s="14" t="s">
        <v>22</v>
      </c>
      <c r="J2" s="14" t="s">
        <v>24</v>
      </c>
      <c r="K2" s="14" t="s">
        <v>24</v>
      </c>
      <c r="L2" s="14" t="s">
        <v>297</v>
      </c>
      <c r="M2" s="14" t="s">
        <v>297</v>
      </c>
      <c r="N2" s="14" t="s">
        <v>298</v>
      </c>
      <c r="O2" s="14" t="s">
        <v>298</v>
      </c>
      <c r="P2" s="28" t="s">
        <v>389</v>
      </c>
      <c r="Q2" s="28" t="s">
        <v>390</v>
      </c>
      <c r="R2" s="20" t="s">
        <v>353</v>
      </c>
      <c r="S2" s="20" t="s">
        <v>354</v>
      </c>
    </row>
    <row r="3" spans="1:25">
      <c r="A3" s="15" t="s">
        <v>250</v>
      </c>
      <c r="B3" s="16">
        <v>240</v>
      </c>
      <c r="C3" s="16">
        <v>420</v>
      </c>
      <c r="D3" s="16">
        <v>270</v>
      </c>
      <c r="E3" s="16">
        <v>460</v>
      </c>
      <c r="F3" s="16">
        <v>270</v>
      </c>
      <c r="G3" s="16">
        <v>450</v>
      </c>
      <c r="H3" s="16"/>
      <c r="I3" s="16"/>
      <c r="J3" s="16"/>
      <c r="K3" s="16"/>
      <c r="L3" s="16"/>
      <c r="M3" s="16"/>
      <c r="N3" s="16"/>
      <c r="O3" s="16"/>
      <c r="P3" s="29"/>
      <c r="Q3" s="29"/>
      <c r="R3" s="23"/>
      <c r="S3" s="23"/>
    </row>
    <row r="4" spans="1:25">
      <c r="A4" s="15" t="s">
        <v>251</v>
      </c>
      <c r="B4" s="16">
        <v>240</v>
      </c>
      <c r="C4" s="16">
        <v>420</v>
      </c>
      <c r="D4" s="16">
        <v>270</v>
      </c>
      <c r="E4" s="16">
        <v>460</v>
      </c>
      <c r="F4" s="16">
        <v>270</v>
      </c>
      <c r="G4" s="16">
        <v>450</v>
      </c>
      <c r="H4" s="16"/>
      <c r="I4" s="16"/>
      <c r="J4" s="16">
        <v>360</v>
      </c>
      <c r="K4" s="16">
        <v>620</v>
      </c>
      <c r="L4" s="16">
        <v>80</v>
      </c>
      <c r="M4" s="16">
        <v>80</v>
      </c>
      <c r="N4" s="16">
        <v>80</v>
      </c>
      <c r="O4" s="16">
        <v>80</v>
      </c>
      <c r="P4" s="29"/>
      <c r="Q4" s="29"/>
      <c r="R4" s="23"/>
      <c r="S4" s="23"/>
    </row>
    <row r="5" spans="1:25">
      <c r="A5" s="15" t="s">
        <v>287</v>
      </c>
      <c r="B5" s="16"/>
      <c r="C5" s="16"/>
      <c r="D5" s="16"/>
      <c r="E5" s="16"/>
      <c r="F5" s="16"/>
      <c r="G5" s="16"/>
      <c r="H5" s="16">
        <v>360</v>
      </c>
      <c r="I5" s="16">
        <v>620</v>
      </c>
      <c r="J5" s="16"/>
      <c r="K5" s="16"/>
      <c r="L5" s="16"/>
      <c r="M5" s="16"/>
      <c r="N5" s="16"/>
      <c r="O5" s="16"/>
      <c r="P5" s="29"/>
      <c r="Q5" s="29"/>
      <c r="R5" s="23"/>
      <c r="S5" s="23"/>
      <c r="Y5" t="s">
        <v>388</v>
      </c>
    </row>
    <row r="6" spans="1:25">
      <c r="A6" s="15" t="s">
        <v>288</v>
      </c>
      <c r="B6" s="16"/>
      <c r="C6" s="16"/>
      <c r="D6" s="16"/>
      <c r="E6" s="16"/>
      <c r="F6" s="16"/>
      <c r="G6" s="16"/>
      <c r="H6" s="16">
        <v>360</v>
      </c>
      <c r="I6" s="16">
        <v>620</v>
      </c>
      <c r="J6" s="16"/>
      <c r="K6" s="16"/>
      <c r="L6" s="16"/>
      <c r="M6" s="16"/>
      <c r="N6" s="16"/>
      <c r="O6" s="16"/>
      <c r="P6" s="29"/>
      <c r="Q6" s="29"/>
      <c r="R6" s="23"/>
      <c r="S6" s="23"/>
    </row>
    <row r="7" spans="1:25">
      <c r="A7" s="15" t="s">
        <v>329</v>
      </c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29">
        <v>-950</v>
      </c>
      <c r="Q7" s="29">
        <v>-950</v>
      </c>
      <c r="R7" s="23"/>
      <c r="S7" s="23"/>
    </row>
    <row r="8" spans="1:25">
      <c r="A8" s="15" t="s">
        <v>252</v>
      </c>
      <c r="B8" s="16">
        <v>160</v>
      </c>
      <c r="C8" s="16">
        <v>340</v>
      </c>
      <c r="D8" s="16">
        <v>180</v>
      </c>
      <c r="E8" s="16">
        <v>380</v>
      </c>
      <c r="F8" s="16">
        <v>180</v>
      </c>
      <c r="G8" s="16">
        <v>380</v>
      </c>
      <c r="H8" s="16">
        <v>280</v>
      </c>
      <c r="I8" s="16">
        <v>540</v>
      </c>
      <c r="J8" s="16">
        <v>280</v>
      </c>
      <c r="K8" s="16">
        <v>540</v>
      </c>
      <c r="L8" s="16">
        <v>0</v>
      </c>
      <c r="M8" s="16">
        <v>0</v>
      </c>
      <c r="N8" s="16">
        <v>0</v>
      </c>
      <c r="O8" s="16">
        <v>0</v>
      </c>
      <c r="P8" s="29"/>
      <c r="Q8" s="29"/>
      <c r="R8" s="23"/>
      <c r="S8" s="23"/>
    </row>
    <row r="9" spans="1:25">
      <c r="A9" s="15" t="s">
        <v>334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29">
        <v>-740</v>
      </c>
      <c r="Q9" s="29">
        <v>-740</v>
      </c>
      <c r="R9" s="23"/>
      <c r="S9" s="23"/>
    </row>
    <row r="10" spans="1:25">
      <c r="A10" s="15" t="s">
        <v>253</v>
      </c>
      <c r="B10" s="16">
        <v>300</v>
      </c>
      <c r="C10" s="16">
        <v>470</v>
      </c>
      <c r="D10" s="16">
        <v>360</v>
      </c>
      <c r="E10" s="16">
        <v>540</v>
      </c>
      <c r="F10" s="16">
        <v>400</v>
      </c>
      <c r="G10" s="16">
        <v>570</v>
      </c>
      <c r="H10" s="16">
        <v>530</v>
      </c>
      <c r="I10" s="16">
        <v>800</v>
      </c>
      <c r="J10" s="16">
        <v>540</v>
      </c>
      <c r="K10" s="16">
        <v>810</v>
      </c>
      <c r="L10" s="16">
        <v>350</v>
      </c>
      <c r="M10" s="16">
        <v>350</v>
      </c>
      <c r="N10" s="16">
        <v>390</v>
      </c>
      <c r="O10" s="16">
        <v>390</v>
      </c>
      <c r="P10" s="29"/>
      <c r="Q10" s="29"/>
      <c r="R10" s="23"/>
      <c r="S10" s="23"/>
    </row>
    <row r="11" spans="1:25">
      <c r="A11" s="15" t="s">
        <v>254</v>
      </c>
      <c r="B11" s="16">
        <v>340</v>
      </c>
      <c r="C11" s="16">
        <v>520</v>
      </c>
      <c r="D11" s="16">
        <v>410</v>
      </c>
      <c r="E11" s="16">
        <v>600</v>
      </c>
      <c r="F11" s="16">
        <v>460</v>
      </c>
      <c r="G11" s="16">
        <v>650</v>
      </c>
      <c r="H11" s="16">
        <v>620</v>
      </c>
      <c r="I11" s="16">
        <v>890</v>
      </c>
      <c r="J11" s="16">
        <v>640</v>
      </c>
      <c r="K11" s="16">
        <v>900</v>
      </c>
      <c r="L11" s="16">
        <v>500</v>
      </c>
      <c r="M11" s="16">
        <v>500</v>
      </c>
      <c r="N11" s="16">
        <v>550</v>
      </c>
      <c r="O11" s="16">
        <v>550</v>
      </c>
      <c r="P11" s="29"/>
      <c r="Q11" s="29"/>
      <c r="R11" s="23"/>
      <c r="S11" s="23"/>
    </row>
    <row r="12" spans="1:25">
      <c r="A12" s="15" t="s">
        <v>335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29">
        <v>-580</v>
      </c>
      <c r="Q12" s="29">
        <v>-580</v>
      </c>
      <c r="R12" s="23"/>
      <c r="S12" s="23"/>
    </row>
    <row r="13" spans="1:25">
      <c r="A13" s="15" t="s">
        <v>255</v>
      </c>
      <c r="B13" s="16">
        <v>390</v>
      </c>
      <c r="C13" s="16">
        <v>570</v>
      </c>
      <c r="D13" s="16">
        <v>470</v>
      </c>
      <c r="E13" s="16">
        <v>650</v>
      </c>
      <c r="F13" s="16">
        <v>520</v>
      </c>
      <c r="G13" s="16">
        <v>710</v>
      </c>
      <c r="H13" s="16">
        <v>710</v>
      </c>
      <c r="I13" s="16">
        <v>970</v>
      </c>
      <c r="J13" s="16"/>
      <c r="K13" s="16"/>
      <c r="L13" s="16"/>
      <c r="M13" s="16"/>
      <c r="N13" s="16"/>
      <c r="O13" s="16"/>
      <c r="P13" s="29"/>
      <c r="Q13" s="29"/>
      <c r="R13" s="23"/>
      <c r="S13" s="23"/>
    </row>
    <row r="14" spans="1:25">
      <c r="A14" s="15" t="s">
        <v>293</v>
      </c>
      <c r="B14" s="16"/>
      <c r="C14" s="16"/>
      <c r="D14" s="16"/>
      <c r="E14" s="16"/>
      <c r="F14" s="16"/>
      <c r="G14" s="16"/>
      <c r="H14" s="16"/>
      <c r="I14" s="16"/>
      <c r="J14" s="16">
        <v>750</v>
      </c>
      <c r="K14" s="16">
        <v>1020</v>
      </c>
      <c r="L14" s="16">
        <v>680</v>
      </c>
      <c r="M14" s="16">
        <v>680</v>
      </c>
      <c r="N14" s="16">
        <v>750</v>
      </c>
      <c r="O14" s="16">
        <v>750</v>
      </c>
      <c r="P14" s="29"/>
      <c r="Q14" s="29"/>
      <c r="R14" s="23"/>
      <c r="S14" s="23"/>
    </row>
    <row r="15" spans="1:25">
      <c r="A15" s="15" t="s">
        <v>330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29">
        <v>-500</v>
      </c>
      <c r="Q15" s="29">
        <v>-500</v>
      </c>
      <c r="R15" s="23"/>
      <c r="S15" s="23"/>
    </row>
    <row r="16" spans="1:25">
      <c r="A16" s="15" t="s">
        <v>256</v>
      </c>
      <c r="B16" s="16">
        <v>550</v>
      </c>
      <c r="C16" s="16">
        <v>730</v>
      </c>
      <c r="D16" s="16">
        <v>660</v>
      </c>
      <c r="E16" s="16">
        <v>850</v>
      </c>
      <c r="F16" s="16">
        <v>740</v>
      </c>
      <c r="G16" s="16">
        <v>930</v>
      </c>
      <c r="H16" s="16">
        <v>960</v>
      </c>
      <c r="I16" s="16">
        <v>1230</v>
      </c>
      <c r="J16" s="16">
        <v>1030</v>
      </c>
      <c r="K16" s="16">
        <v>1290</v>
      </c>
      <c r="L16" s="16">
        <v>1070</v>
      </c>
      <c r="M16" s="16">
        <v>1070</v>
      </c>
      <c r="N16" s="16">
        <v>1230</v>
      </c>
      <c r="O16" s="16">
        <v>1230</v>
      </c>
      <c r="P16" s="30">
        <v>-350</v>
      </c>
      <c r="Q16" s="30">
        <v>-350</v>
      </c>
      <c r="R16" s="23"/>
      <c r="S16" s="23"/>
    </row>
    <row r="17" spans="1:19">
      <c r="A17" s="15" t="s">
        <v>331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30">
        <v>-270</v>
      </c>
      <c r="Q17" s="30">
        <v>-270</v>
      </c>
      <c r="R17" s="23"/>
      <c r="S17" s="23"/>
    </row>
    <row r="18" spans="1:19">
      <c r="A18" s="15" t="s">
        <v>257</v>
      </c>
      <c r="B18" s="16">
        <v>610</v>
      </c>
      <c r="C18" s="16">
        <v>790</v>
      </c>
      <c r="D18" s="16">
        <v>730</v>
      </c>
      <c r="E18" s="16">
        <v>920</v>
      </c>
      <c r="F18" s="16">
        <v>820</v>
      </c>
      <c r="G18" s="16">
        <v>1000</v>
      </c>
      <c r="H18" s="16">
        <v>1070</v>
      </c>
      <c r="I18" s="16">
        <v>1340</v>
      </c>
      <c r="J18" s="16">
        <v>1140</v>
      </c>
      <c r="K18" s="16">
        <v>1410</v>
      </c>
      <c r="L18" s="16">
        <v>1250</v>
      </c>
      <c r="M18" s="16">
        <v>1250</v>
      </c>
      <c r="N18" s="16">
        <v>1430</v>
      </c>
      <c r="O18" s="16">
        <v>1430</v>
      </c>
      <c r="P18" s="29"/>
      <c r="Q18" s="29"/>
      <c r="R18" s="23"/>
      <c r="S18" s="23"/>
    </row>
    <row r="19" spans="1:19">
      <c r="A19" s="15" t="s">
        <v>332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29">
        <v>-190</v>
      </c>
      <c r="Q19" s="29">
        <v>-190</v>
      </c>
      <c r="R19" s="23"/>
      <c r="S19" s="23"/>
    </row>
    <row r="20" spans="1:19">
      <c r="A20" s="15" t="s">
        <v>258</v>
      </c>
      <c r="B20" s="16">
        <v>670</v>
      </c>
      <c r="C20" s="16">
        <v>850</v>
      </c>
      <c r="D20" s="16">
        <v>800</v>
      </c>
      <c r="E20" s="16">
        <v>990</v>
      </c>
      <c r="F20" s="16">
        <v>890</v>
      </c>
      <c r="G20" s="16">
        <v>1080</v>
      </c>
      <c r="H20" s="16">
        <v>1180</v>
      </c>
      <c r="I20" s="16">
        <v>1450</v>
      </c>
      <c r="J20" s="16">
        <v>1260</v>
      </c>
      <c r="K20" s="16">
        <v>1520</v>
      </c>
      <c r="L20" s="16">
        <v>1430</v>
      </c>
      <c r="M20" s="16">
        <v>1430</v>
      </c>
      <c r="N20" s="16">
        <v>1630</v>
      </c>
      <c r="O20" s="16">
        <v>1630</v>
      </c>
      <c r="P20" s="29"/>
      <c r="Q20" s="29"/>
      <c r="R20" s="23"/>
      <c r="S20" s="23"/>
    </row>
    <row r="21" spans="1:19">
      <c r="A21" s="15" t="s">
        <v>333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29">
        <v>-110</v>
      </c>
      <c r="Q21" s="29">
        <v>-110</v>
      </c>
      <c r="R21" s="23"/>
      <c r="S21" s="23"/>
    </row>
    <row r="22" spans="1:19">
      <c r="A22" s="15" t="s">
        <v>286</v>
      </c>
      <c r="B22" s="16"/>
      <c r="C22" s="16"/>
      <c r="D22" s="16">
        <v>870</v>
      </c>
      <c r="E22" s="16">
        <v>1060</v>
      </c>
      <c r="F22" s="16">
        <v>970</v>
      </c>
      <c r="G22" s="16">
        <v>1160</v>
      </c>
      <c r="H22" s="16">
        <v>1290</v>
      </c>
      <c r="I22" s="16">
        <v>1560</v>
      </c>
      <c r="J22" s="16">
        <v>1380</v>
      </c>
      <c r="K22" s="16">
        <v>1640</v>
      </c>
      <c r="L22" s="16">
        <v>1610</v>
      </c>
      <c r="M22" s="16">
        <v>1610</v>
      </c>
      <c r="N22" s="16">
        <v>1820</v>
      </c>
      <c r="O22" s="16">
        <v>1820</v>
      </c>
      <c r="P22" s="29"/>
      <c r="Q22" s="29"/>
      <c r="R22" s="23"/>
      <c r="S22" s="23"/>
    </row>
    <row r="23" spans="1:19">
      <c r="A23" s="15" t="s">
        <v>259</v>
      </c>
      <c r="B23" s="16">
        <v>790</v>
      </c>
      <c r="C23" s="16">
        <v>960</v>
      </c>
      <c r="D23" s="16">
        <v>940</v>
      </c>
      <c r="E23" s="16">
        <v>1130</v>
      </c>
      <c r="F23" s="16">
        <v>1050</v>
      </c>
      <c r="G23" s="16">
        <v>1240</v>
      </c>
      <c r="H23" s="16">
        <v>1400</v>
      </c>
      <c r="I23" s="16">
        <v>1660</v>
      </c>
      <c r="J23" s="16">
        <v>1490</v>
      </c>
      <c r="K23" s="16">
        <v>1760</v>
      </c>
      <c r="L23" s="16">
        <v>1790</v>
      </c>
      <c r="M23" s="16">
        <v>1790</v>
      </c>
      <c r="N23" s="16">
        <v>2020</v>
      </c>
      <c r="O23" s="16">
        <v>2020</v>
      </c>
      <c r="P23" s="30">
        <v>50</v>
      </c>
      <c r="Q23" s="30">
        <v>50</v>
      </c>
      <c r="R23" s="23"/>
      <c r="S23" s="23"/>
    </row>
    <row r="24" spans="1:19">
      <c r="A24" s="15" t="s">
        <v>260</v>
      </c>
      <c r="B24" s="16">
        <v>980</v>
      </c>
      <c r="C24" s="16">
        <v>1160</v>
      </c>
      <c r="D24" s="16">
        <v>1160</v>
      </c>
      <c r="E24" s="16">
        <v>1340</v>
      </c>
      <c r="F24" s="16">
        <v>1280</v>
      </c>
      <c r="G24" s="16">
        <v>1470</v>
      </c>
      <c r="H24" s="16">
        <v>1840</v>
      </c>
      <c r="I24" s="16">
        <v>2100</v>
      </c>
      <c r="J24" s="16">
        <v>2020</v>
      </c>
      <c r="K24" s="16">
        <v>2290</v>
      </c>
      <c r="L24" s="16">
        <v>2460</v>
      </c>
      <c r="M24" s="16">
        <v>2460</v>
      </c>
      <c r="N24" s="16">
        <v>2740</v>
      </c>
      <c r="O24" s="16">
        <v>2740</v>
      </c>
      <c r="P24" s="29"/>
      <c r="Q24" s="29"/>
      <c r="R24" s="23"/>
      <c r="S24" s="23"/>
    </row>
    <row r="25" spans="1:19">
      <c r="A25" s="15" t="s">
        <v>261</v>
      </c>
      <c r="B25" s="16">
        <v>1100</v>
      </c>
      <c r="C25" s="16">
        <v>1280</v>
      </c>
      <c r="D25" s="16">
        <v>1300</v>
      </c>
      <c r="E25" s="16">
        <v>1480</v>
      </c>
      <c r="F25" s="16">
        <v>1440</v>
      </c>
      <c r="G25" s="16">
        <v>1630</v>
      </c>
      <c r="H25" s="16">
        <v>2050</v>
      </c>
      <c r="I25" s="16">
        <v>2320</v>
      </c>
      <c r="J25" s="16">
        <v>2250</v>
      </c>
      <c r="K25" s="16">
        <v>2520</v>
      </c>
      <c r="L25" s="16">
        <v>2810</v>
      </c>
      <c r="M25" s="16">
        <v>2810</v>
      </c>
      <c r="N25" s="16">
        <v>3140</v>
      </c>
      <c r="O25" s="16">
        <v>3140</v>
      </c>
      <c r="P25" s="29"/>
      <c r="Q25" s="29"/>
      <c r="R25" s="23"/>
      <c r="S25" s="23"/>
    </row>
    <row r="26" spans="1:19">
      <c r="A26" s="15" t="s">
        <v>262</v>
      </c>
      <c r="B26" s="16">
        <v>740</v>
      </c>
      <c r="C26" s="16">
        <v>940</v>
      </c>
      <c r="D26" s="16">
        <v>860</v>
      </c>
      <c r="E26" s="16">
        <v>1060</v>
      </c>
      <c r="F26" s="16">
        <v>1030</v>
      </c>
      <c r="G26" s="16">
        <v>1230</v>
      </c>
      <c r="H26" s="16"/>
      <c r="I26" s="16"/>
      <c r="J26" s="16"/>
      <c r="K26" s="16"/>
      <c r="L26" s="16"/>
      <c r="M26" s="16"/>
      <c r="N26" s="16"/>
      <c r="O26" s="16"/>
      <c r="P26" s="29"/>
      <c r="Q26" s="29"/>
      <c r="R26" s="23"/>
      <c r="S26" s="23"/>
    </row>
    <row r="27" spans="1:19">
      <c r="A27" s="15" t="s">
        <v>263</v>
      </c>
      <c r="B27" s="16">
        <v>740</v>
      </c>
      <c r="C27" s="16">
        <v>940</v>
      </c>
      <c r="D27" s="16">
        <v>860</v>
      </c>
      <c r="E27" s="16">
        <v>1060</v>
      </c>
      <c r="F27" s="16">
        <v>1030</v>
      </c>
      <c r="G27" s="16">
        <v>1230</v>
      </c>
      <c r="H27" s="16"/>
      <c r="I27" s="16"/>
      <c r="J27" s="16">
        <v>1370</v>
      </c>
      <c r="K27" s="16">
        <v>1700</v>
      </c>
      <c r="L27" s="16">
        <v>1460</v>
      </c>
      <c r="M27" s="16">
        <v>1460</v>
      </c>
      <c r="N27" s="16">
        <v>1750</v>
      </c>
      <c r="O27" s="16">
        <v>1750</v>
      </c>
      <c r="P27" s="29"/>
      <c r="Q27" s="29"/>
      <c r="R27" s="23"/>
      <c r="S27" s="23"/>
    </row>
    <row r="28" spans="1:19">
      <c r="A28" s="15" t="s">
        <v>289</v>
      </c>
      <c r="B28" s="16"/>
      <c r="C28" s="16"/>
      <c r="D28" s="16"/>
      <c r="E28" s="16"/>
      <c r="F28" s="16"/>
      <c r="G28" s="16"/>
      <c r="H28" s="16">
        <v>1350</v>
      </c>
      <c r="I28" s="16">
        <v>1680</v>
      </c>
      <c r="J28" s="16"/>
      <c r="K28" s="16"/>
      <c r="L28" s="16"/>
      <c r="M28" s="16"/>
      <c r="N28" s="16"/>
      <c r="O28" s="16"/>
      <c r="P28" s="29"/>
      <c r="Q28" s="29"/>
      <c r="R28" s="23"/>
      <c r="S28" s="23"/>
    </row>
    <row r="29" spans="1:19">
      <c r="A29" s="15" t="s">
        <v>290</v>
      </c>
      <c r="B29" s="16"/>
      <c r="C29" s="16"/>
      <c r="D29" s="16"/>
      <c r="E29" s="16"/>
      <c r="F29" s="16"/>
      <c r="G29" s="16"/>
      <c r="H29" s="16">
        <v>1350</v>
      </c>
      <c r="I29" s="16">
        <v>1680</v>
      </c>
      <c r="J29" s="16"/>
      <c r="K29" s="16"/>
      <c r="L29" s="16"/>
      <c r="M29" s="16"/>
      <c r="N29" s="16"/>
      <c r="O29" s="16"/>
      <c r="P29" s="29"/>
      <c r="Q29" s="29"/>
      <c r="R29" s="23"/>
      <c r="S29" s="23"/>
    </row>
    <row r="30" spans="1:19">
      <c r="A30" s="15" t="s">
        <v>264</v>
      </c>
      <c r="B30" s="16">
        <v>660</v>
      </c>
      <c r="C30" s="16">
        <v>860</v>
      </c>
      <c r="D30" s="16">
        <v>780</v>
      </c>
      <c r="E30" s="16">
        <v>990</v>
      </c>
      <c r="F30" s="16">
        <v>950</v>
      </c>
      <c r="G30" s="16">
        <v>1150</v>
      </c>
      <c r="H30" s="16">
        <v>1280</v>
      </c>
      <c r="I30" s="16">
        <v>1600</v>
      </c>
      <c r="J30" s="16">
        <v>1290</v>
      </c>
      <c r="K30" s="16">
        <v>1620</v>
      </c>
      <c r="L30" s="16">
        <v>1380</v>
      </c>
      <c r="M30" s="16">
        <v>1380</v>
      </c>
      <c r="N30" s="16">
        <v>1670</v>
      </c>
      <c r="O30" s="16">
        <v>1670</v>
      </c>
      <c r="P30" s="29"/>
      <c r="Q30" s="29"/>
      <c r="R30" s="23"/>
      <c r="S30" s="23"/>
    </row>
    <row r="31" spans="1:19">
      <c r="A31" s="15" t="s">
        <v>265</v>
      </c>
      <c r="B31" s="16">
        <v>740</v>
      </c>
      <c r="C31" s="16">
        <v>940</v>
      </c>
      <c r="D31" s="16">
        <v>890</v>
      </c>
      <c r="E31" s="16">
        <v>1090</v>
      </c>
      <c r="F31" s="16">
        <v>1060</v>
      </c>
      <c r="G31" s="16">
        <v>1270</v>
      </c>
      <c r="H31" s="16">
        <v>1430</v>
      </c>
      <c r="I31" s="16">
        <v>1760</v>
      </c>
      <c r="J31" s="16">
        <v>1460</v>
      </c>
      <c r="K31" s="16">
        <v>1790</v>
      </c>
      <c r="L31" s="16">
        <v>1630</v>
      </c>
      <c r="M31" s="16">
        <v>1630</v>
      </c>
      <c r="N31" s="16">
        <v>1940</v>
      </c>
      <c r="O31" s="16">
        <v>1940</v>
      </c>
      <c r="P31" s="29"/>
      <c r="Q31" s="29"/>
      <c r="R31" s="23"/>
      <c r="S31" s="23"/>
    </row>
    <row r="32" spans="1:19">
      <c r="A32" s="15" t="s">
        <v>266</v>
      </c>
      <c r="B32" s="16">
        <v>800</v>
      </c>
      <c r="C32" s="16">
        <v>990</v>
      </c>
      <c r="D32" s="16">
        <v>960</v>
      </c>
      <c r="E32" s="16">
        <v>1170</v>
      </c>
      <c r="F32" s="16">
        <v>1140</v>
      </c>
      <c r="G32" s="16">
        <v>1340</v>
      </c>
      <c r="H32" s="16">
        <v>1530</v>
      </c>
      <c r="I32" s="16">
        <v>1860</v>
      </c>
      <c r="J32" s="16">
        <v>1570</v>
      </c>
      <c r="K32" s="16">
        <v>1900</v>
      </c>
      <c r="L32" s="16">
        <v>1790</v>
      </c>
      <c r="M32" s="16">
        <v>1790</v>
      </c>
      <c r="N32" s="16">
        <v>2120</v>
      </c>
      <c r="O32" s="16">
        <v>2120</v>
      </c>
      <c r="P32" s="29"/>
      <c r="Q32" s="29"/>
      <c r="R32" s="23"/>
      <c r="S32" s="23"/>
    </row>
    <row r="33" spans="1:19">
      <c r="A33" s="15" t="s">
        <v>267</v>
      </c>
      <c r="B33" s="16">
        <v>850</v>
      </c>
      <c r="C33" s="16">
        <v>1040</v>
      </c>
      <c r="D33" s="16">
        <v>1030</v>
      </c>
      <c r="E33" s="16">
        <v>1240</v>
      </c>
      <c r="F33" s="16">
        <v>1220</v>
      </c>
      <c r="G33" s="16">
        <v>1420</v>
      </c>
      <c r="H33" s="16"/>
      <c r="I33" s="16"/>
      <c r="J33" s="16"/>
      <c r="K33" s="16"/>
      <c r="L33" s="16"/>
      <c r="M33" s="16"/>
      <c r="N33" s="16"/>
      <c r="O33" s="16"/>
      <c r="P33" s="29"/>
      <c r="Q33" s="29"/>
      <c r="R33" s="23"/>
      <c r="S33" s="23"/>
    </row>
    <row r="34" spans="1:19">
      <c r="A34" s="15" t="s">
        <v>268</v>
      </c>
      <c r="B34" s="16">
        <v>860</v>
      </c>
      <c r="C34" s="16">
        <v>1060</v>
      </c>
      <c r="D34" s="16"/>
      <c r="E34" s="16"/>
      <c r="F34" s="16"/>
      <c r="G34" s="16"/>
      <c r="H34" s="16">
        <v>1660</v>
      </c>
      <c r="I34" s="16">
        <v>1990</v>
      </c>
      <c r="J34" s="16">
        <v>1710</v>
      </c>
      <c r="K34" s="16">
        <v>2040</v>
      </c>
      <c r="L34" s="16">
        <v>1990</v>
      </c>
      <c r="M34" s="16">
        <v>1990</v>
      </c>
      <c r="N34" s="16">
        <v>2340</v>
      </c>
      <c r="O34" s="16">
        <v>2340</v>
      </c>
      <c r="P34" s="29"/>
      <c r="Q34" s="29"/>
      <c r="R34" s="23"/>
      <c r="S34" s="23"/>
    </row>
    <row r="35" spans="1:19">
      <c r="A35" s="15" t="s">
        <v>269</v>
      </c>
      <c r="B35" s="16">
        <v>1050</v>
      </c>
      <c r="C35" s="16">
        <v>1250</v>
      </c>
      <c r="D35" s="16">
        <v>1300</v>
      </c>
      <c r="E35" s="16">
        <v>1500</v>
      </c>
      <c r="F35" s="16">
        <v>1560</v>
      </c>
      <c r="G35" s="16">
        <v>1760</v>
      </c>
      <c r="H35" s="16">
        <v>2070</v>
      </c>
      <c r="I35" s="16">
        <v>2400</v>
      </c>
      <c r="J35" s="16">
        <v>2190</v>
      </c>
      <c r="K35" s="16">
        <v>2520</v>
      </c>
      <c r="L35" s="16">
        <v>2660</v>
      </c>
      <c r="M35" s="16">
        <v>2660</v>
      </c>
      <c r="N35" s="16">
        <v>3030</v>
      </c>
      <c r="O35" s="16">
        <v>3030</v>
      </c>
      <c r="P35" s="29"/>
      <c r="Q35" s="29"/>
      <c r="R35" s="23"/>
      <c r="S35" s="23"/>
    </row>
    <row r="36" spans="1:19">
      <c r="A36" s="15" t="s">
        <v>270</v>
      </c>
      <c r="B36" s="16">
        <v>1120</v>
      </c>
      <c r="C36" s="16">
        <v>1310</v>
      </c>
      <c r="D36" s="16">
        <v>1390</v>
      </c>
      <c r="E36" s="16">
        <v>1480</v>
      </c>
      <c r="F36" s="16">
        <v>1650</v>
      </c>
      <c r="G36" s="16">
        <v>1860</v>
      </c>
      <c r="H36" s="16"/>
      <c r="I36" s="16"/>
      <c r="J36" s="16">
        <v>2330</v>
      </c>
      <c r="K36" s="16">
        <v>2660</v>
      </c>
      <c r="L36" s="16">
        <v>2860</v>
      </c>
      <c r="M36" s="16">
        <v>2860</v>
      </c>
      <c r="N36" s="16">
        <v>3250</v>
      </c>
      <c r="O36" s="16">
        <v>3250</v>
      </c>
      <c r="P36" s="29"/>
      <c r="Q36" s="29"/>
      <c r="R36" s="23"/>
      <c r="S36" s="23"/>
    </row>
    <row r="37" spans="1:19">
      <c r="A37" s="15" t="s">
        <v>271</v>
      </c>
      <c r="B37" s="16">
        <v>1180</v>
      </c>
      <c r="C37" s="16">
        <v>1380</v>
      </c>
      <c r="D37" s="16">
        <v>1480</v>
      </c>
      <c r="E37" s="16">
        <v>1680</v>
      </c>
      <c r="F37" s="16">
        <v>1750</v>
      </c>
      <c r="G37" s="16">
        <v>1950</v>
      </c>
      <c r="H37" s="16">
        <v>2330</v>
      </c>
      <c r="I37" s="16">
        <v>2650</v>
      </c>
      <c r="J37" s="16">
        <v>2480</v>
      </c>
      <c r="K37" s="16">
        <v>2800</v>
      </c>
      <c r="L37" s="16">
        <v>3060</v>
      </c>
      <c r="M37" s="16">
        <v>3060</v>
      </c>
      <c r="N37" s="16">
        <v>3470</v>
      </c>
      <c r="O37" s="16">
        <v>3470</v>
      </c>
      <c r="P37" s="29"/>
      <c r="Q37" s="29"/>
      <c r="R37" s="23"/>
      <c r="S37" s="23"/>
    </row>
    <row r="38" spans="1:19">
      <c r="A38" s="15" t="s">
        <v>291</v>
      </c>
      <c r="B38" s="16"/>
      <c r="C38" s="16"/>
      <c r="D38" s="16">
        <v>1570</v>
      </c>
      <c r="E38" s="16">
        <v>1770</v>
      </c>
      <c r="F38" s="16">
        <v>1850</v>
      </c>
      <c r="G38" s="16">
        <v>2050</v>
      </c>
      <c r="H38" s="16"/>
      <c r="I38" s="16"/>
      <c r="J38" s="16">
        <v>2620</v>
      </c>
      <c r="K38" s="16">
        <v>2940</v>
      </c>
      <c r="L38" s="16">
        <v>3270</v>
      </c>
      <c r="M38" s="16">
        <v>3270</v>
      </c>
      <c r="N38" s="16">
        <v>3690</v>
      </c>
      <c r="O38" s="16">
        <v>3690</v>
      </c>
      <c r="P38" s="29"/>
      <c r="Q38" s="29"/>
      <c r="R38" s="23"/>
      <c r="S38" s="23"/>
    </row>
    <row r="39" spans="1:19">
      <c r="A39" s="15" t="s">
        <v>272</v>
      </c>
      <c r="B39" s="16">
        <v>1320</v>
      </c>
      <c r="C39" s="16">
        <v>1510</v>
      </c>
      <c r="D39" s="16">
        <v>1660</v>
      </c>
      <c r="E39" s="16">
        <v>1860</v>
      </c>
      <c r="F39" s="16">
        <v>1940</v>
      </c>
      <c r="G39" s="16">
        <v>2150</v>
      </c>
      <c r="H39" s="16">
        <v>2580</v>
      </c>
      <c r="I39" s="16">
        <v>2910</v>
      </c>
      <c r="J39" s="16">
        <v>2750</v>
      </c>
      <c r="K39" s="16">
        <v>3080</v>
      </c>
      <c r="L39" s="16">
        <v>3470</v>
      </c>
      <c r="M39" s="16">
        <v>3470</v>
      </c>
      <c r="N39" s="16">
        <v>3910</v>
      </c>
      <c r="O39" s="16">
        <v>3910</v>
      </c>
      <c r="P39" s="29"/>
      <c r="Q39" s="29"/>
      <c r="R39" s="23"/>
      <c r="S39" s="23"/>
    </row>
    <row r="40" spans="1:19">
      <c r="A40" s="15" t="s">
        <v>273</v>
      </c>
      <c r="B40" s="16">
        <v>1530</v>
      </c>
      <c r="C40" s="16">
        <v>1720</v>
      </c>
      <c r="D40" s="16">
        <v>1910</v>
      </c>
      <c r="E40" s="16">
        <v>2110</v>
      </c>
      <c r="F40" s="16">
        <v>2230</v>
      </c>
      <c r="G40" s="16">
        <v>2430</v>
      </c>
      <c r="H40" s="16">
        <v>3070</v>
      </c>
      <c r="I40" s="16">
        <v>3400</v>
      </c>
      <c r="J40" s="16">
        <v>3270</v>
      </c>
      <c r="K40" s="16">
        <v>3590</v>
      </c>
      <c r="L40" s="16">
        <v>4210</v>
      </c>
      <c r="M40" s="16">
        <v>4210</v>
      </c>
      <c r="N40" s="16"/>
      <c r="O40" s="16"/>
      <c r="P40" s="29"/>
      <c r="Q40" s="29"/>
      <c r="R40" s="23"/>
      <c r="S40" s="23"/>
    </row>
    <row r="41" spans="1:19">
      <c r="A41" s="15" t="s">
        <v>274</v>
      </c>
      <c r="B41" s="16">
        <v>1660</v>
      </c>
      <c r="C41" s="16">
        <v>1850</v>
      </c>
      <c r="D41" s="16">
        <v>2090</v>
      </c>
      <c r="E41" s="16">
        <v>2290</v>
      </c>
      <c r="F41" s="16">
        <v>2430</v>
      </c>
      <c r="G41" s="16">
        <v>2630</v>
      </c>
      <c r="H41" s="16">
        <v>3330</v>
      </c>
      <c r="I41" s="16">
        <v>3660</v>
      </c>
      <c r="J41" s="16">
        <v>3550</v>
      </c>
      <c r="K41" s="16">
        <v>3870</v>
      </c>
      <c r="L41" s="16">
        <v>4620</v>
      </c>
      <c r="M41" s="16">
        <v>4620</v>
      </c>
      <c r="N41" s="16"/>
      <c r="O41" s="16"/>
      <c r="P41" s="29"/>
      <c r="Q41" s="29"/>
      <c r="R41" s="23"/>
      <c r="S41" s="23"/>
    </row>
    <row r="42" spans="1:19">
      <c r="A42" s="15" t="s">
        <v>275</v>
      </c>
      <c r="B42" s="16">
        <v>1080</v>
      </c>
      <c r="C42" s="16">
        <v>1370</v>
      </c>
      <c r="D42" s="16">
        <v>1460</v>
      </c>
      <c r="E42" s="16">
        <v>1790</v>
      </c>
      <c r="F42" s="16">
        <v>1510</v>
      </c>
      <c r="G42" s="16">
        <v>1840</v>
      </c>
      <c r="H42" s="16">
        <v>2330</v>
      </c>
      <c r="I42" s="16">
        <v>2750</v>
      </c>
      <c r="J42" s="16">
        <v>2950</v>
      </c>
      <c r="K42" s="16">
        <v>3370</v>
      </c>
      <c r="L42" s="16">
        <v>3000</v>
      </c>
      <c r="M42" s="16">
        <v>3000</v>
      </c>
      <c r="N42" s="16">
        <v>3320</v>
      </c>
      <c r="O42" s="16">
        <v>3320</v>
      </c>
      <c r="P42" s="29"/>
      <c r="Q42" s="29"/>
      <c r="R42" s="23"/>
      <c r="S42" s="23"/>
    </row>
    <row r="43" spans="1:19">
      <c r="A43" s="15" t="s">
        <v>292</v>
      </c>
      <c r="B43" s="16"/>
      <c r="C43" s="16"/>
      <c r="D43" s="16"/>
      <c r="E43" s="16"/>
      <c r="F43" s="16"/>
      <c r="G43" s="16"/>
      <c r="H43" s="16">
        <v>2520</v>
      </c>
      <c r="I43" s="16">
        <v>2940</v>
      </c>
      <c r="J43" s="16"/>
      <c r="K43" s="16"/>
      <c r="L43" s="16"/>
      <c r="M43" s="16"/>
      <c r="N43" s="16"/>
      <c r="O43" s="16"/>
      <c r="P43" s="29"/>
      <c r="Q43" s="29"/>
      <c r="R43" s="23"/>
      <c r="S43" s="23"/>
    </row>
    <row r="44" spans="1:19">
      <c r="A44" s="15" t="s">
        <v>276</v>
      </c>
      <c r="B44" s="16">
        <v>1190</v>
      </c>
      <c r="C44" s="16">
        <v>1480</v>
      </c>
      <c r="D44" s="16">
        <v>1620</v>
      </c>
      <c r="E44" s="16">
        <v>1960</v>
      </c>
      <c r="F44" s="16">
        <v>1680</v>
      </c>
      <c r="G44" s="16">
        <v>2010</v>
      </c>
      <c r="H44" s="16">
        <v>2620</v>
      </c>
      <c r="I44" s="16">
        <v>3040</v>
      </c>
      <c r="J44" s="16">
        <v>3210</v>
      </c>
      <c r="K44" s="16">
        <v>3630</v>
      </c>
      <c r="L44" s="16">
        <v>3370</v>
      </c>
      <c r="M44" s="16">
        <v>3370</v>
      </c>
      <c r="N44" s="16">
        <v>3640</v>
      </c>
      <c r="O44" s="16">
        <v>3640</v>
      </c>
      <c r="P44" s="29"/>
      <c r="Q44" s="29"/>
      <c r="R44" s="23"/>
      <c r="S44" s="23"/>
    </row>
    <row r="45" spans="1:19">
      <c r="A45" s="15" t="s">
        <v>336</v>
      </c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29">
        <v>100</v>
      </c>
      <c r="Q45" s="29">
        <v>100</v>
      </c>
      <c r="R45" s="23"/>
      <c r="S45" s="23"/>
    </row>
    <row r="46" spans="1:19">
      <c r="A46" s="15" t="s">
        <v>277</v>
      </c>
      <c r="B46" s="16">
        <v>1300</v>
      </c>
      <c r="C46" s="16">
        <v>1590</v>
      </c>
      <c r="D46" s="16">
        <v>1750</v>
      </c>
      <c r="E46" s="16">
        <v>2080</v>
      </c>
      <c r="F46" s="16">
        <v>1830</v>
      </c>
      <c r="G46" s="16">
        <v>2150</v>
      </c>
      <c r="H46" s="16">
        <v>2780</v>
      </c>
      <c r="I46" s="16">
        <v>3200</v>
      </c>
      <c r="J46" s="16">
        <v>3430</v>
      </c>
      <c r="K46" s="16">
        <v>3850</v>
      </c>
      <c r="L46" s="16">
        <v>3700</v>
      </c>
      <c r="M46" s="16">
        <v>3700</v>
      </c>
      <c r="N46" s="16">
        <v>4010</v>
      </c>
      <c r="O46" s="16">
        <v>4010</v>
      </c>
      <c r="P46" s="29"/>
      <c r="Q46" s="29"/>
      <c r="R46" s="23"/>
      <c r="S46" s="23"/>
    </row>
    <row r="47" spans="1:19">
      <c r="A47" s="15" t="s">
        <v>278</v>
      </c>
      <c r="B47" s="16">
        <v>1340</v>
      </c>
      <c r="C47" s="16">
        <v>1630</v>
      </c>
      <c r="D47" s="16">
        <v>1810</v>
      </c>
      <c r="E47" s="16">
        <v>2140</v>
      </c>
      <c r="F47" s="16">
        <v>1890</v>
      </c>
      <c r="G47" s="16">
        <v>2220</v>
      </c>
      <c r="H47" s="16">
        <v>2870</v>
      </c>
      <c r="I47" s="16">
        <v>3290</v>
      </c>
      <c r="J47" s="16">
        <v>3530</v>
      </c>
      <c r="K47" s="16">
        <v>3950</v>
      </c>
      <c r="L47" s="16">
        <v>3840</v>
      </c>
      <c r="M47" s="16">
        <v>3840</v>
      </c>
      <c r="N47" s="16">
        <v>4170</v>
      </c>
      <c r="O47" s="16">
        <v>4170</v>
      </c>
      <c r="P47" s="29"/>
      <c r="Q47" s="29"/>
      <c r="R47" s="23"/>
      <c r="S47" s="23"/>
    </row>
    <row r="48" spans="1:19">
      <c r="A48" s="15" t="s">
        <v>337</v>
      </c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29">
        <v>0</v>
      </c>
      <c r="Q48" s="29">
        <v>0</v>
      </c>
      <c r="R48" s="23"/>
      <c r="S48" s="23"/>
    </row>
    <row r="49" spans="1:19">
      <c r="A49" s="15" t="s">
        <v>279</v>
      </c>
      <c r="B49" s="16">
        <v>1400</v>
      </c>
      <c r="C49" s="16">
        <v>1690</v>
      </c>
      <c r="D49" s="16">
        <v>1890</v>
      </c>
      <c r="E49" s="16">
        <v>2220</v>
      </c>
      <c r="F49" s="16">
        <v>1970</v>
      </c>
      <c r="G49" s="16">
        <v>2300</v>
      </c>
      <c r="H49" s="16">
        <v>2980</v>
      </c>
      <c r="I49" s="16">
        <v>3400</v>
      </c>
      <c r="J49" s="16"/>
      <c r="K49" s="16"/>
      <c r="L49" s="16"/>
      <c r="M49" s="16"/>
      <c r="N49" s="16"/>
      <c r="O49" s="16"/>
      <c r="P49" s="29"/>
      <c r="Q49" s="29"/>
      <c r="R49" s="23"/>
      <c r="S49" s="23"/>
    </row>
    <row r="50" spans="1:19">
      <c r="A50" s="15" t="s">
        <v>280</v>
      </c>
      <c r="B50" s="16">
        <v>1430</v>
      </c>
      <c r="C50" s="16">
        <v>1720</v>
      </c>
      <c r="D50" s="16">
        <v>1930</v>
      </c>
      <c r="E50" s="16">
        <v>2260</v>
      </c>
      <c r="F50" s="16">
        <v>2010</v>
      </c>
      <c r="G50" s="16">
        <v>2340</v>
      </c>
      <c r="H50" s="16">
        <v>3040</v>
      </c>
      <c r="I50" s="16">
        <v>3460</v>
      </c>
      <c r="J50" s="16">
        <v>4150</v>
      </c>
      <c r="K50" s="16">
        <v>4570</v>
      </c>
      <c r="L50" s="16">
        <v>4110</v>
      </c>
      <c r="M50" s="16">
        <v>4110</v>
      </c>
      <c r="N50" s="16">
        <v>4490</v>
      </c>
      <c r="O50" s="16">
        <v>4490</v>
      </c>
      <c r="P50" s="29">
        <v>250</v>
      </c>
      <c r="Q50" s="29">
        <v>250</v>
      </c>
      <c r="R50" s="23"/>
      <c r="S50" s="23"/>
    </row>
    <row r="51" spans="1:19">
      <c r="A51" s="15" t="s">
        <v>281</v>
      </c>
      <c r="B51" s="16">
        <v>1600</v>
      </c>
      <c r="C51" s="16">
        <v>1890</v>
      </c>
      <c r="D51" s="16">
        <v>2160</v>
      </c>
      <c r="E51" s="16">
        <v>2490</v>
      </c>
      <c r="F51" s="16">
        <v>2260</v>
      </c>
      <c r="G51" s="16">
        <v>2580</v>
      </c>
      <c r="H51" s="16">
        <v>3380</v>
      </c>
      <c r="I51" s="16">
        <v>3800</v>
      </c>
      <c r="J51" s="16">
        <v>4280</v>
      </c>
      <c r="K51" s="16">
        <v>4700</v>
      </c>
      <c r="L51" s="16">
        <v>4520</v>
      </c>
      <c r="M51" s="16">
        <v>4520</v>
      </c>
      <c r="N51" s="16">
        <v>4700</v>
      </c>
      <c r="O51" s="16">
        <v>4700</v>
      </c>
      <c r="P51" s="29"/>
      <c r="Q51" s="29"/>
      <c r="R51" s="23"/>
      <c r="S51" s="23"/>
    </row>
    <row r="52" spans="1:19">
      <c r="A52" s="15" t="s">
        <v>282</v>
      </c>
      <c r="B52" s="16">
        <v>1720</v>
      </c>
      <c r="C52" s="16">
        <v>2010</v>
      </c>
      <c r="D52" s="16">
        <v>2320</v>
      </c>
      <c r="E52" s="16">
        <v>2650</v>
      </c>
      <c r="F52" s="16">
        <v>2420</v>
      </c>
      <c r="G52" s="16">
        <v>2750</v>
      </c>
      <c r="H52" s="16">
        <v>3620</v>
      </c>
      <c r="I52" s="16">
        <v>4040</v>
      </c>
      <c r="J52" s="16">
        <v>4540</v>
      </c>
      <c r="K52" s="16">
        <v>4960</v>
      </c>
      <c r="L52" s="16">
        <v>4890</v>
      </c>
      <c r="M52" s="16">
        <v>4890</v>
      </c>
      <c r="N52" s="16">
        <v>5430</v>
      </c>
      <c r="O52" s="16">
        <v>5430</v>
      </c>
      <c r="P52" s="29">
        <v>680</v>
      </c>
      <c r="Q52" s="29">
        <v>680</v>
      </c>
      <c r="R52" s="23"/>
      <c r="S52" s="23"/>
    </row>
    <row r="53" spans="1:19">
      <c r="A53" s="15" t="s">
        <v>294</v>
      </c>
      <c r="B53" s="16"/>
      <c r="C53" s="16"/>
      <c r="D53" s="16"/>
      <c r="E53" s="16"/>
      <c r="F53" s="16"/>
      <c r="G53" s="16"/>
      <c r="H53" s="16"/>
      <c r="I53" s="16"/>
      <c r="J53" s="16">
        <v>4600</v>
      </c>
      <c r="K53" s="16">
        <v>5020</v>
      </c>
      <c r="L53" s="16"/>
      <c r="M53" s="16"/>
      <c r="N53" s="16"/>
      <c r="O53" s="16"/>
      <c r="P53" s="29"/>
      <c r="Q53" s="29"/>
      <c r="R53" s="23"/>
      <c r="S53" s="23"/>
    </row>
    <row r="54" spans="1:19">
      <c r="A54" s="15" t="s">
        <v>338</v>
      </c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29">
        <v>880</v>
      </c>
      <c r="Q54" s="29">
        <v>880</v>
      </c>
      <c r="R54" s="23"/>
      <c r="S54" s="23"/>
    </row>
    <row r="55" spans="1:19">
      <c r="A55" s="15" t="s">
        <v>283</v>
      </c>
      <c r="B55" s="16">
        <v>1960</v>
      </c>
      <c r="C55" s="16">
        <v>2240</v>
      </c>
      <c r="D55" s="16">
        <v>2690</v>
      </c>
      <c r="E55" s="16">
        <v>3020</v>
      </c>
      <c r="F55" s="16">
        <v>2860</v>
      </c>
      <c r="G55" s="16">
        <v>3190</v>
      </c>
      <c r="H55" s="16">
        <v>4270</v>
      </c>
      <c r="I55" s="16">
        <v>4690</v>
      </c>
      <c r="J55" s="16">
        <v>4920</v>
      </c>
      <c r="K55" s="16">
        <v>5340</v>
      </c>
      <c r="L55" s="16">
        <v>5820</v>
      </c>
      <c r="M55" s="16">
        <v>5820</v>
      </c>
      <c r="N55" s="16">
        <v>6070</v>
      </c>
      <c r="O55" s="16">
        <v>6070</v>
      </c>
      <c r="P55" s="29"/>
      <c r="Q55" s="29"/>
      <c r="R55" s="23"/>
      <c r="S55" s="23"/>
    </row>
    <row r="56" spans="1:19">
      <c r="A56" s="15" t="s">
        <v>339</v>
      </c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29">
        <v>1280</v>
      </c>
      <c r="Q56" s="29">
        <v>1280</v>
      </c>
      <c r="R56" s="31">
        <v>0</v>
      </c>
      <c r="S56" s="31"/>
    </row>
    <row r="57" spans="1:19">
      <c r="A57" s="15" t="s">
        <v>284</v>
      </c>
      <c r="B57" s="16">
        <v>2310</v>
      </c>
      <c r="C57" s="16">
        <v>2590</v>
      </c>
      <c r="D57" s="16">
        <v>3260</v>
      </c>
      <c r="E57" s="16">
        <v>3590</v>
      </c>
      <c r="F57" s="16">
        <v>3450</v>
      </c>
      <c r="G57" s="16">
        <v>3780</v>
      </c>
      <c r="H57" s="16"/>
      <c r="I57" s="16"/>
      <c r="J57" s="16">
        <v>5610</v>
      </c>
      <c r="K57" s="16">
        <v>6030</v>
      </c>
      <c r="L57" s="16">
        <v>6720</v>
      </c>
      <c r="M57" s="16">
        <v>6720</v>
      </c>
      <c r="N57" s="16">
        <v>7270</v>
      </c>
      <c r="O57" s="16">
        <v>7270</v>
      </c>
      <c r="P57" s="29"/>
      <c r="Q57" s="29"/>
      <c r="R57" s="31"/>
      <c r="S57" s="31"/>
    </row>
    <row r="58" spans="1:19">
      <c r="A58" s="15" t="s">
        <v>340</v>
      </c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29">
        <v>1640</v>
      </c>
      <c r="Q58" s="29">
        <v>1640</v>
      </c>
      <c r="R58" s="26">
        <v>360</v>
      </c>
      <c r="S58" s="31"/>
    </row>
    <row r="59" spans="1:19">
      <c r="A59" s="15" t="s">
        <v>285</v>
      </c>
      <c r="B59" s="16">
        <v>2500</v>
      </c>
      <c r="C59" s="16">
        <v>2790</v>
      </c>
      <c r="D59" s="16">
        <v>3520</v>
      </c>
      <c r="E59" s="16">
        <v>3850</v>
      </c>
      <c r="F59" s="16">
        <v>3720</v>
      </c>
      <c r="G59" s="16">
        <v>4050</v>
      </c>
      <c r="H59" s="16"/>
      <c r="I59" s="16"/>
      <c r="J59" s="16">
        <v>6240</v>
      </c>
      <c r="K59" s="16">
        <v>6660</v>
      </c>
      <c r="L59" s="16">
        <v>7260</v>
      </c>
      <c r="M59" s="16">
        <v>7260</v>
      </c>
      <c r="N59" s="16">
        <v>7990</v>
      </c>
      <c r="O59" s="16">
        <v>7990</v>
      </c>
      <c r="P59" s="29">
        <v>1830</v>
      </c>
      <c r="Q59" s="29">
        <v>1830</v>
      </c>
      <c r="R59" s="26">
        <v>560</v>
      </c>
      <c r="S59" s="31"/>
    </row>
    <row r="60" spans="1:19">
      <c r="A60" s="15" t="s">
        <v>341</v>
      </c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29">
        <v>1915</v>
      </c>
      <c r="Q60" s="29">
        <v>1915</v>
      </c>
      <c r="R60" s="33"/>
      <c r="S60" s="31"/>
    </row>
    <row r="61" spans="1:19">
      <c r="A61" s="15" t="s">
        <v>295</v>
      </c>
      <c r="B61" s="16"/>
      <c r="C61" s="16"/>
      <c r="D61" s="16"/>
      <c r="E61" s="16"/>
      <c r="F61" s="16"/>
      <c r="G61" s="16"/>
      <c r="H61" s="16"/>
      <c r="I61" s="16"/>
      <c r="J61" s="16">
        <v>6620</v>
      </c>
      <c r="K61" s="16">
        <v>7040</v>
      </c>
      <c r="L61" s="16"/>
      <c r="M61" s="16"/>
      <c r="N61" s="16"/>
      <c r="O61" s="16"/>
      <c r="P61" s="29">
        <v>2230</v>
      </c>
      <c r="Q61" s="29">
        <v>2230</v>
      </c>
      <c r="R61" s="26">
        <v>960</v>
      </c>
      <c r="S61" s="31"/>
    </row>
    <row r="62" spans="1:19">
      <c r="A62" s="15" t="s">
        <v>296</v>
      </c>
      <c r="B62" s="16"/>
      <c r="C62" s="16"/>
      <c r="D62" s="16"/>
      <c r="E62" s="16"/>
      <c r="F62" s="16"/>
      <c r="G62" s="16"/>
      <c r="H62" s="16"/>
      <c r="I62" s="16"/>
      <c r="J62" s="16">
        <v>7010</v>
      </c>
      <c r="K62" s="16">
        <v>7430</v>
      </c>
      <c r="L62" s="16"/>
      <c r="M62" s="16"/>
      <c r="N62" s="16">
        <v>9200</v>
      </c>
      <c r="O62" s="16">
        <v>9200</v>
      </c>
      <c r="P62" s="29">
        <v>2760</v>
      </c>
      <c r="Q62" s="29">
        <v>2760</v>
      </c>
      <c r="R62" s="26">
        <v>1490</v>
      </c>
      <c r="S62" s="31"/>
    </row>
    <row r="63" spans="1:19">
      <c r="A63" s="15" t="s">
        <v>342</v>
      </c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31">
        <v>3010</v>
      </c>
      <c r="Q63" s="31">
        <v>3010</v>
      </c>
      <c r="R63" s="33"/>
      <c r="S63" s="31"/>
    </row>
    <row r="64" spans="1:19">
      <c r="A64" s="15" t="s">
        <v>352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31">
        <v>3160</v>
      </c>
      <c r="Q64" s="31">
        <v>3160</v>
      </c>
      <c r="R64" s="26">
        <v>1890</v>
      </c>
      <c r="S64" s="31">
        <v>0</v>
      </c>
    </row>
    <row r="65" spans="1:19">
      <c r="A65" s="15" t="s">
        <v>343</v>
      </c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31">
        <v>4080</v>
      </c>
      <c r="Q65" s="31">
        <v>4080</v>
      </c>
      <c r="R65" s="26">
        <v>2810</v>
      </c>
      <c r="S65" s="26">
        <v>920</v>
      </c>
    </row>
    <row r="66" spans="1:19">
      <c r="A66" s="24" t="s">
        <v>344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31">
        <v>4860</v>
      </c>
      <c r="Q66" s="31">
        <v>4860</v>
      </c>
      <c r="R66" s="26">
        <v>3590</v>
      </c>
      <c r="S66" s="26">
        <v>1700</v>
      </c>
    </row>
    <row r="67" spans="1:19">
      <c r="A67" s="24" t="s">
        <v>345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31">
        <v>5640</v>
      </c>
      <c r="Q67" s="31">
        <v>5640</v>
      </c>
      <c r="R67" s="26">
        <v>4360</v>
      </c>
      <c r="S67" s="26">
        <v>2480</v>
      </c>
    </row>
    <row r="68" spans="1:19">
      <c r="A68" s="24" t="s">
        <v>346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31">
        <v>6420</v>
      </c>
      <c r="Q68" s="31">
        <v>6420</v>
      </c>
      <c r="R68" s="26">
        <v>5140</v>
      </c>
      <c r="S68" s="26">
        <v>3260</v>
      </c>
    </row>
    <row r="69" spans="1:19">
      <c r="A69" s="24" t="s">
        <v>347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31">
        <v>6810</v>
      </c>
      <c r="Q69" s="31">
        <v>6810</v>
      </c>
      <c r="R69" s="26">
        <v>5530</v>
      </c>
      <c r="S69" s="26">
        <v>3640</v>
      </c>
    </row>
    <row r="70" spans="1:19">
      <c r="A70" s="24" t="s">
        <v>348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31">
        <v>7200</v>
      </c>
      <c r="Q70" s="31">
        <v>7200</v>
      </c>
      <c r="R70" s="26">
        <v>5920</v>
      </c>
      <c r="S70" s="26">
        <v>4030</v>
      </c>
    </row>
    <row r="71" spans="1:19">
      <c r="A71" s="24" t="s">
        <v>349</v>
      </c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31">
        <v>7590</v>
      </c>
      <c r="Q71" s="31">
        <v>7590</v>
      </c>
      <c r="R71" s="26"/>
      <c r="S71" s="26">
        <v>4420</v>
      </c>
    </row>
    <row r="72" spans="1:19">
      <c r="A72" s="24" t="s">
        <v>350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31">
        <v>8560</v>
      </c>
      <c r="Q72" s="31">
        <v>8560</v>
      </c>
      <c r="R72" s="26"/>
      <c r="S72" s="26">
        <v>5400</v>
      </c>
    </row>
    <row r="73" spans="1:19">
      <c r="A73" s="24" t="s">
        <v>351</v>
      </c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31">
        <v>9530</v>
      </c>
      <c r="Q73" s="31">
        <v>9530</v>
      </c>
      <c r="R73" s="26"/>
      <c r="S73" s="26">
        <v>6370</v>
      </c>
    </row>
  </sheetData>
  <mergeCells count="1">
    <mergeCell ref="A1:A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A1:Y6"/>
  <sheetViews>
    <sheetView topLeftCell="G1" zoomScale="70" zoomScaleNormal="70" workbookViewId="0">
      <selection activeCell="A34" sqref="A34"/>
    </sheetView>
  </sheetViews>
  <sheetFormatPr defaultRowHeight="14.4"/>
  <cols>
    <col min="1" max="1" width="46.88671875" bestFit="1" customWidth="1"/>
    <col min="2" max="4" width="15" bestFit="1" customWidth="1"/>
    <col min="5" max="11" width="14.88671875" bestFit="1" customWidth="1"/>
    <col min="12" max="25" width="16" bestFit="1" customWidth="1"/>
    <col min="26" max="26" width="16.33203125" bestFit="1" customWidth="1"/>
    <col min="27" max="27" width="16.33203125" customWidth="1"/>
    <col min="28" max="29" width="16.33203125" bestFit="1" customWidth="1"/>
  </cols>
  <sheetData>
    <row r="1" spans="1:25" ht="15" thickBot="1">
      <c r="A1" s="153" t="s">
        <v>34</v>
      </c>
      <c r="B1" s="18" t="s">
        <v>16</v>
      </c>
      <c r="C1" s="18" t="s">
        <v>16</v>
      </c>
      <c r="D1" s="18" t="s">
        <v>16</v>
      </c>
      <c r="E1" s="18" t="s">
        <v>16</v>
      </c>
      <c r="F1" s="18" t="s">
        <v>16</v>
      </c>
      <c r="G1" s="18" t="s">
        <v>16</v>
      </c>
      <c r="H1" s="18" t="s">
        <v>16</v>
      </c>
      <c r="I1" s="18" t="s">
        <v>16</v>
      </c>
      <c r="J1" s="18" t="s">
        <v>16</v>
      </c>
      <c r="K1" s="18" t="s">
        <v>16</v>
      </c>
      <c r="L1" s="17" t="s">
        <v>26</v>
      </c>
      <c r="M1" s="17" t="s">
        <v>26</v>
      </c>
      <c r="N1" s="17" t="s">
        <v>26</v>
      </c>
      <c r="O1" s="17" t="s">
        <v>26</v>
      </c>
      <c r="P1" s="17" t="s">
        <v>26</v>
      </c>
      <c r="Q1" s="17" t="s">
        <v>26</v>
      </c>
      <c r="R1" s="17" t="s">
        <v>26</v>
      </c>
      <c r="S1" s="17" t="s">
        <v>26</v>
      </c>
      <c r="T1" s="17" t="s">
        <v>26</v>
      </c>
      <c r="U1" s="17" t="s">
        <v>26</v>
      </c>
      <c r="V1" s="17" t="s">
        <v>26</v>
      </c>
      <c r="W1" s="17" t="s">
        <v>26</v>
      </c>
      <c r="X1" s="17" t="s">
        <v>26</v>
      </c>
      <c r="Y1" s="17" t="s">
        <v>26</v>
      </c>
    </row>
    <row r="2" spans="1:25" ht="15" thickBot="1">
      <c r="A2" s="153"/>
      <c r="B2" s="19" t="s">
        <v>41</v>
      </c>
      <c r="C2" s="19" t="s">
        <v>41</v>
      </c>
      <c r="D2" s="19" t="s">
        <v>41</v>
      </c>
      <c r="E2" s="19" t="s">
        <v>38</v>
      </c>
      <c r="F2" s="19" t="s">
        <v>38</v>
      </c>
      <c r="G2" s="19" t="s">
        <v>38</v>
      </c>
      <c r="H2" s="19" t="s">
        <v>38</v>
      </c>
      <c r="I2" s="19" t="s">
        <v>38</v>
      </c>
      <c r="J2" s="19" t="s">
        <v>38</v>
      </c>
      <c r="K2" s="19" t="s">
        <v>38</v>
      </c>
      <c r="L2" s="19" t="s">
        <v>42</v>
      </c>
      <c r="M2" s="19" t="s">
        <v>42</v>
      </c>
      <c r="N2" s="19" t="s">
        <v>42</v>
      </c>
      <c r="O2" s="19" t="s">
        <v>174</v>
      </c>
      <c r="P2" s="19" t="s">
        <v>174</v>
      </c>
      <c r="Q2" s="19" t="s">
        <v>174</v>
      </c>
      <c r="R2" s="19" t="s">
        <v>174</v>
      </c>
      <c r="S2" s="19" t="s">
        <v>38</v>
      </c>
      <c r="T2" s="19" t="s">
        <v>38</v>
      </c>
      <c r="U2" s="19" t="s">
        <v>38</v>
      </c>
      <c r="V2" s="19" t="s">
        <v>38</v>
      </c>
      <c r="W2" s="19" t="s">
        <v>38</v>
      </c>
      <c r="X2" s="19" t="s">
        <v>38</v>
      </c>
      <c r="Y2" s="19" t="s">
        <v>38</v>
      </c>
    </row>
    <row r="3" spans="1:25" ht="15.6">
      <c r="A3" s="154"/>
      <c r="B3" s="20" t="s">
        <v>17</v>
      </c>
      <c r="C3" s="20" t="s">
        <v>19</v>
      </c>
      <c r="D3" s="20" t="s">
        <v>20</v>
      </c>
      <c r="E3" s="20" t="s">
        <v>17</v>
      </c>
      <c r="F3" s="20" t="s">
        <v>19</v>
      </c>
      <c r="G3" s="20" t="s">
        <v>20</v>
      </c>
      <c r="H3" s="20" t="s">
        <v>22</v>
      </c>
      <c r="I3" s="20" t="s">
        <v>24</v>
      </c>
      <c r="J3" s="20" t="s">
        <v>297</v>
      </c>
      <c r="K3" s="20" t="s">
        <v>298</v>
      </c>
      <c r="L3" s="20" t="s">
        <v>17</v>
      </c>
      <c r="M3" s="20" t="s">
        <v>19</v>
      </c>
      <c r="N3" s="20" t="s">
        <v>20</v>
      </c>
      <c r="O3" s="20" t="s">
        <v>17</v>
      </c>
      <c r="P3" s="20" t="s">
        <v>19</v>
      </c>
      <c r="Q3" s="20" t="s">
        <v>20</v>
      </c>
      <c r="R3" s="20" t="s">
        <v>22</v>
      </c>
      <c r="S3" s="20" t="s">
        <v>17</v>
      </c>
      <c r="T3" s="20" t="s">
        <v>19</v>
      </c>
      <c r="U3" s="20" t="s">
        <v>20</v>
      </c>
      <c r="V3" s="20" t="s">
        <v>22</v>
      </c>
      <c r="W3" s="20" t="s">
        <v>24</v>
      </c>
      <c r="X3" s="20" t="s">
        <v>297</v>
      </c>
      <c r="Y3" s="20" t="s">
        <v>298</v>
      </c>
    </row>
    <row r="4" spans="1:25">
      <c r="A4" s="21" t="s">
        <v>35</v>
      </c>
      <c r="B4" s="21">
        <v>0</v>
      </c>
      <c r="C4" s="21">
        <v>0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v>0</v>
      </c>
      <c r="J4" s="21">
        <v>0</v>
      </c>
      <c r="K4" s="21">
        <v>0</v>
      </c>
      <c r="L4" s="21">
        <v>0</v>
      </c>
      <c r="M4" s="21">
        <v>0</v>
      </c>
      <c r="N4" s="21">
        <v>0</v>
      </c>
      <c r="O4" s="21">
        <v>0</v>
      </c>
      <c r="P4" s="21">
        <v>0</v>
      </c>
      <c r="Q4" s="21"/>
      <c r="R4" s="21"/>
      <c r="S4" s="21"/>
      <c r="T4" s="21"/>
      <c r="U4" s="21"/>
      <c r="V4" s="21"/>
      <c r="W4" s="21"/>
      <c r="X4" s="21"/>
      <c r="Y4" s="21"/>
    </row>
    <row r="5" spans="1:25">
      <c r="A5" s="21" t="s">
        <v>36</v>
      </c>
      <c r="B5" s="21">
        <v>250</v>
      </c>
      <c r="C5" s="21">
        <v>300</v>
      </c>
      <c r="D5" s="21">
        <v>370</v>
      </c>
      <c r="E5" s="21">
        <v>250</v>
      </c>
      <c r="F5" s="21">
        <v>300</v>
      </c>
      <c r="G5" s="21">
        <v>370</v>
      </c>
      <c r="H5" s="21">
        <v>600</v>
      </c>
      <c r="I5" s="21">
        <v>1230</v>
      </c>
      <c r="J5" s="21">
        <v>2450</v>
      </c>
      <c r="K5" s="21">
        <v>2450</v>
      </c>
      <c r="L5" s="21">
        <v>200</v>
      </c>
      <c r="M5" s="21">
        <v>220</v>
      </c>
      <c r="N5" s="21">
        <v>170</v>
      </c>
      <c r="O5" s="21">
        <v>200</v>
      </c>
      <c r="P5" s="21">
        <v>220</v>
      </c>
      <c r="Q5" s="21">
        <v>0</v>
      </c>
      <c r="R5" s="21">
        <v>170</v>
      </c>
      <c r="S5" s="21">
        <v>0</v>
      </c>
      <c r="T5" s="21">
        <v>0</v>
      </c>
      <c r="U5" s="21">
        <v>0</v>
      </c>
      <c r="V5" s="21">
        <v>0</v>
      </c>
      <c r="W5" s="21">
        <v>0</v>
      </c>
      <c r="X5" s="21">
        <v>0</v>
      </c>
      <c r="Y5" s="21">
        <v>0</v>
      </c>
    </row>
    <row r="6" spans="1:25">
      <c r="A6" s="21" t="s">
        <v>37</v>
      </c>
      <c r="B6" s="21">
        <v>330</v>
      </c>
      <c r="C6" s="21">
        <v>420</v>
      </c>
      <c r="D6" s="21">
        <v>510</v>
      </c>
      <c r="E6" s="21">
        <v>330</v>
      </c>
      <c r="F6" s="21">
        <v>420</v>
      </c>
      <c r="G6" s="21">
        <v>510</v>
      </c>
      <c r="H6" s="21">
        <v>870</v>
      </c>
      <c r="I6" s="21">
        <v>1640</v>
      </c>
      <c r="J6" s="21">
        <v>3180</v>
      </c>
      <c r="K6" s="21">
        <v>3180</v>
      </c>
      <c r="L6" s="21">
        <v>280</v>
      </c>
      <c r="M6" s="21">
        <v>340</v>
      </c>
      <c r="N6" s="21">
        <v>310</v>
      </c>
      <c r="O6" s="21">
        <v>280</v>
      </c>
      <c r="P6" s="21">
        <v>340</v>
      </c>
      <c r="Q6" s="21">
        <v>150</v>
      </c>
      <c r="R6" s="21">
        <v>170</v>
      </c>
      <c r="S6" s="21">
        <v>110</v>
      </c>
      <c r="T6" s="21">
        <v>130</v>
      </c>
      <c r="U6" s="21">
        <v>150</v>
      </c>
      <c r="V6" s="21">
        <v>170</v>
      </c>
      <c r="W6" s="21">
        <v>470</v>
      </c>
      <c r="X6" s="21">
        <v>470</v>
      </c>
      <c r="Y6" s="21">
        <v>470</v>
      </c>
    </row>
  </sheetData>
  <mergeCells count="1">
    <mergeCell ref="A1:A3"/>
  </mergeCells>
  <phoneticPr fontId="11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D0BFD-E19E-4B02-9193-3BF74400A01B}">
  <sheetPr codeName="Arkusz5"/>
  <dimension ref="A1:Y15"/>
  <sheetViews>
    <sheetView workbookViewId="0">
      <selection activeCell="A34" sqref="A34"/>
    </sheetView>
  </sheetViews>
  <sheetFormatPr defaultRowHeight="14.4"/>
  <cols>
    <col min="1" max="1" width="46.88671875" bestFit="1" customWidth="1"/>
    <col min="2" max="11" width="14.88671875" bestFit="1" customWidth="1"/>
    <col min="12" max="25" width="16" bestFit="1" customWidth="1"/>
  </cols>
  <sheetData>
    <row r="1" spans="1:25" ht="15" thickBot="1">
      <c r="A1" s="153" t="s">
        <v>399</v>
      </c>
      <c r="B1" s="18" t="s">
        <v>16</v>
      </c>
      <c r="C1" s="18" t="s">
        <v>16</v>
      </c>
      <c r="D1" s="18" t="s">
        <v>16</v>
      </c>
      <c r="E1" s="18" t="s">
        <v>16</v>
      </c>
      <c r="F1" s="18" t="s">
        <v>16</v>
      </c>
      <c r="G1" s="18" t="s">
        <v>16</v>
      </c>
      <c r="H1" s="18" t="s">
        <v>16</v>
      </c>
      <c r="I1" s="18" t="s">
        <v>16</v>
      </c>
      <c r="J1" s="18" t="s">
        <v>16</v>
      </c>
      <c r="K1" s="18" t="s">
        <v>16</v>
      </c>
      <c r="L1" s="17" t="s">
        <v>26</v>
      </c>
      <c r="M1" s="17" t="s">
        <v>26</v>
      </c>
      <c r="N1" s="17" t="s">
        <v>26</v>
      </c>
      <c r="O1" s="17" t="s">
        <v>26</v>
      </c>
      <c r="P1" s="17" t="s">
        <v>26</v>
      </c>
      <c r="Q1" s="17" t="s">
        <v>26</v>
      </c>
      <c r="R1" s="17" t="s">
        <v>26</v>
      </c>
      <c r="S1" s="17" t="s">
        <v>26</v>
      </c>
      <c r="T1" s="17" t="s">
        <v>26</v>
      </c>
      <c r="U1" s="17" t="s">
        <v>26</v>
      </c>
      <c r="V1" s="17" t="s">
        <v>26</v>
      </c>
      <c r="W1" s="17" t="s">
        <v>26</v>
      </c>
      <c r="X1" s="17" t="s">
        <v>26</v>
      </c>
      <c r="Y1" s="17" t="s">
        <v>26</v>
      </c>
    </row>
    <row r="2" spans="1:25" ht="15" thickBot="1">
      <c r="A2" s="153"/>
      <c r="B2" s="19" t="s">
        <v>41</v>
      </c>
      <c r="C2" s="19" t="s">
        <v>41</v>
      </c>
      <c r="D2" s="19" t="s">
        <v>41</v>
      </c>
      <c r="E2" s="19" t="s">
        <v>38</v>
      </c>
      <c r="F2" s="19" t="s">
        <v>38</v>
      </c>
      <c r="G2" s="19" t="s">
        <v>38</v>
      </c>
      <c r="H2" s="19" t="s">
        <v>38</v>
      </c>
      <c r="I2" s="19" t="s">
        <v>38</v>
      </c>
      <c r="J2" s="19" t="s">
        <v>38</v>
      </c>
      <c r="K2" s="19" t="s">
        <v>38</v>
      </c>
      <c r="L2" s="19" t="s">
        <v>42</v>
      </c>
      <c r="M2" s="19" t="s">
        <v>42</v>
      </c>
      <c r="N2" s="19" t="s">
        <v>42</v>
      </c>
      <c r="O2" s="19" t="s">
        <v>174</v>
      </c>
      <c r="P2" s="19" t="s">
        <v>174</v>
      </c>
      <c r="Q2" s="19" t="s">
        <v>174</v>
      </c>
      <c r="R2" s="19" t="s">
        <v>174</v>
      </c>
      <c r="S2" s="19" t="s">
        <v>38</v>
      </c>
      <c r="T2" s="19" t="s">
        <v>38</v>
      </c>
      <c r="U2" s="19" t="s">
        <v>38</v>
      </c>
      <c r="V2" s="19" t="s">
        <v>38</v>
      </c>
      <c r="W2" s="19" t="s">
        <v>38</v>
      </c>
      <c r="X2" s="19" t="s">
        <v>38</v>
      </c>
      <c r="Y2" s="19" t="s">
        <v>38</v>
      </c>
    </row>
    <row r="3" spans="1:25" ht="15.6">
      <c r="A3" s="154"/>
      <c r="B3" s="20" t="s">
        <v>17</v>
      </c>
      <c r="C3" s="20" t="s">
        <v>19</v>
      </c>
      <c r="D3" s="20" t="s">
        <v>20</v>
      </c>
      <c r="E3" s="20" t="s">
        <v>17</v>
      </c>
      <c r="F3" s="20" t="s">
        <v>19</v>
      </c>
      <c r="G3" s="20" t="s">
        <v>20</v>
      </c>
      <c r="H3" s="20" t="s">
        <v>22</v>
      </c>
      <c r="I3" s="20" t="s">
        <v>24</v>
      </c>
      <c r="J3" s="20" t="s">
        <v>297</v>
      </c>
      <c r="K3" s="20" t="s">
        <v>298</v>
      </c>
      <c r="L3" s="20" t="s">
        <v>17</v>
      </c>
      <c r="M3" s="20" t="s">
        <v>19</v>
      </c>
      <c r="N3" s="20" t="s">
        <v>20</v>
      </c>
      <c r="O3" s="20" t="s">
        <v>17</v>
      </c>
      <c r="P3" s="20" t="s">
        <v>19</v>
      </c>
      <c r="Q3" s="20" t="s">
        <v>20</v>
      </c>
      <c r="R3" s="20" t="s">
        <v>22</v>
      </c>
      <c r="S3" s="20" t="s">
        <v>17</v>
      </c>
      <c r="T3" s="20" t="s">
        <v>19</v>
      </c>
      <c r="U3" s="20" t="s">
        <v>20</v>
      </c>
      <c r="V3" s="20" t="s">
        <v>22</v>
      </c>
      <c r="W3" s="20" t="s">
        <v>24</v>
      </c>
      <c r="X3" s="20" t="s">
        <v>297</v>
      </c>
      <c r="Y3" s="20" t="s">
        <v>298</v>
      </c>
    </row>
    <row r="4" spans="1:25">
      <c r="A4" s="21" t="s">
        <v>301</v>
      </c>
      <c r="B4" s="21">
        <v>200</v>
      </c>
      <c r="C4" s="21">
        <v>200</v>
      </c>
      <c r="D4" s="21">
        <v>370</v>
      </c>
      <c r="E4" s="21">
        <v>200</v>
      </c>
      <c r="F4" s="21">
        <v>200</v>
      </c>
      <c r="G4" s="21">
        <v>370</v>
      </c>
      <c r="H4" s="21">
        <v>580</v>
      </c>
      <c r="I4" s="21">
        <v>1190</v>
      </c>
      <c r="J4" s="21"/>
      <c r="K4" s="21"/>
      <c r="L4" s="21">
        <v>200</v>
      </c>
      <c r="M4" s="21">
        <v>200</v>
      </c>
      <c r="N4" s="21">
        <v>370</v>
      </c>
      <c r="O4" s="21">
        <v>200</v>
      </c>
      <c r="P4" s="21">
        <v>200</v>
      </c>
      <c r="Q4" s="21">
        <v>370</v>
      </c>
      <c r="R4" s="21">
        <v>580</v>
      </c>
      <c r="S4" s="21">
        <v>200</v>
      </c>
      <c r="T4" s="21">
        <v>200</v>
      </c>
      <c r="U4" s="21">
        <v>370</v>
      </c>
      <c r="V4" s="21">
        <v>580</v>
      </c>
      <c r="W4" s="21">
        <v>1190</v>
      </c>
      <c r="X4" s="21"/>
      <c r="Y4" s="21"/>
    </row>
    <row r="5" spans="1:25">
      <c r="A5" s="21" t="s">
        <v>302</v>
      </c>
      <c r="B5" s="21">
        <v>390</v>
      </c>
      <c r="C5" s="21">
        <v>390</v>
      </c>
      <c r="D5" s="21">
        <v>450</v>
      </c>
      <c r="E5" s="21">
        <v>390</v>
      </c>
      <c r="F5" s="21">
        <v>390</v>
      </c>
      <c r="G5" s="21">
        <v>450</v>
      </c>
      <c r="H5" s="21">
        <v>940</v>
      </c>
      <c r="I5" s="21">
        <v>1930</v>
      </c>
      <c r="J5" s="21">
        <v>1930</v>
      </c>
      <c r="K5" s="21">
        <v>2120</v>
      </c>
      <c r="L5" s="21">
        <v>390</v>
      </c>
      <c r="M5" s="21">
        <v>390</v>
      </c>
      <c r="N5" s="21">
        <v>450</v>
      </c>
      <c r="O5" s="21">
        <v>390</v>
      </c>
      <c r="P5" s="21">
        <v>390</v>
      </c>
      <c r="Q5" s="21">
        <v>450</v>
      </c>
      <c r="R5" s="21">
        <v>940</v>
      </c>
      <c r="S5" s="21">
        <v>390</v>
      </c>
      <c r="T5" s="21">
        <v>390</v>
      </c>
      <c r="U5" s="21">
        <v>450</v>
      </c>
      <c r="V5" s="21">
        <v>940</v>
      </c>
      <c r="W5" s="21">
        <v>1930</v>
      </c>
      <c r="X5" s="21">
        <v>1930</v>
      </c>
      <c r="Y5" s="21">
        <v>2120</v>
      </c>
    </row>
    <row r="6" spans="1:25">
      <c r="A6" s="21" t="s">
        <v>303</v>
      </c>
      <c r="B6" s="21">
        <v>1100</v>
      </c>
      <c r="C6" s="21">
        <v>1160</v>
      </c>
      <c r="D6" s="21">
        <v>1250</v>
      </c>
      <c r="E6" s="21">
        <v>1100</v>
      </c>
      <c r="F6" s="21">
        <v>1160</v>
      </c>
      <c r="G6" s="21">
        <v>1250</v>
      </c>
      <c r="H6" s="21">
        <v>1020</v>
      </c>
      <c r="I6" s="21"/>
      <c r="J6" s="21"/>
      <c r="K6" s="21"/>
      <c r="L6" s="21">
        <v>1100</v>
      </c>
      <c r="M6" s="21">
        <v>1160</v>
      </c>
      <c r="N6" s="21">
        <v>1250</v>
      </c>
      <c r="O6" s="21">
        <v>1100</v>
      </c>
      <c r="P6" s="21">
        <v>1160</v>
      </c>
      <c r="Q6" s="21">
        <v>1250</v>
      </c>
      <c r="R6" s="21">
        <v>1020</v>
      </c>
      <c r="S6" s="21">
        <v>1100</v>
      </c>
      <c r="T6" s="21">
        <v>1160</v>
      </c>
      <c r="U6" s="21">
        <v>1250</v>
      </c>
      <c r="V6" s="21">
        <v>1020</v>
      </c>
      <c r="W6" s="21"/>
      <c r="X6" s="21"/>
      <c r="Y6" s="21"/>
    </row>
    <row r="7" spans="1:25">
      <c r="A7" s="21" t="s">
        <v>304</v>
      </c>
      <c r="B7" s="21">
        <v>550</v>
      </c>
      <c r="C7" s="21">
        <v>550</v>
      </c>
      <c r="D7" s="21">
        <v>580</v>
      </c>
      <c r="E7" s="21">
        <v>550</v>
      </c>
      <c r="F7" s="21">
        <v>550</v>
      </c>
      <c r="G7" s="21">
        <v>580</v>
      </c>
      <c r="H7" s="21">
        <v>1020</v>
      </c>
      <c r="I7" s="21"/>
      <c r="J7" s="21"/>
      <c r="K7" s="21"/>
      <c r="L7" s="21">
        <v>550</v>
      </c>
      <c r="M7" s="21">
        <v>550</v>
      </c>
      <c r="N7" s="21">
        <v>580</v>
      </c>
      <c r="O7" s="21">
        <v>550</v>
      </c>
      <c r="P7" s="21">
        <v>550</v>
      </c>
      <c r="Q7" s="21">
        <v>580</v>
      </c>
      <c r="R7" s="21">
        <v>1020</v>
      </c>
      <c r="S7" s="21">
        <v>550</v>
      </c>
      <c r="T7" s="21">
        <v>550</v>
      </c>
      <c r="U7" s="21">
        <v>580</v>
      </c>
      <c r="V7" s="21">
        <v>1020</v>
      </c>
      <c r="W7" s="21"/>
      <c r="X7" s="21"/>
      <c r="Y7" s="21"/>
    </row>
    <row r="8" spans="1:25">
      <c r="A8" s="21" t="s">
        <v>305</v>
      </c>
      <c r="B8" s="21">
        <v>500</v>
      </c>
      <c r="C8" s="21">
        <v>570</v>
      </c>
      <c r="D8" s="21">
        <v>690</v>
      </c>
      <c r="E8" s="21">
        <v>500</v>
      </c>
      <c r="F8" s="21">
        <v>570</v>
      </c>
      <c r="G8" s="21">
        <v>690</v>
      </c>
      <c r="H8" s="21">
        <v>1020</v>
      </c>
      <c r="I8" s="21"/>
      <c r="J8" s="21"/>
      <c r="K8" s="21"/>
      <c r="L8" s="21">
        <v>500</v>
      </c>
      <c r="M8" s="21">
        <v>570</v>
      </c>
      <c r="N8" s="21">
        <v>690</v>
      </c>
      <c r="O8" s="21">
        <v>500</v>
      </c>
      <c r="P8" s="21">
        <v>570</v>
      </c>
      <c r="Q8" s="21">
        <v>690</v>
      </c>
      <c r="R8" s="21">
        <v>1020</v>
      </c>
      <c r="S8" s="21">
        <v>500</v>
      </c>
      <c r="T8" s="21">
        <v>570</v>
      </c>
      <c r="U8" s="21">
        <v>690</v>
      </c>
      <c r="V8" s="21">
        <v>1020</v>
      </c>
      <c r="W8" s="21"/>
      <c r="X8" s="21"/>
      <c r="Y8" s="21"/>
    </row>
    <row r="9" spans="1:25">
      <c r="A9" s="21" t="s">
        <v>306</v>
      </c>
      <c r="B9" s="21"/>
      <c r="C9" s="21"/>
      <c r="D9" s="21"/>
      <c r="E9" s="21"/>
      <c r="F9" s="21"/>
      <c r="G9" s="21"/>
      <c r="H9" s="21"/>
      <c r="I9" s="21">
        <v>3600</v>
      </c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</row>
    <row r="10" spans="1:25">
      <c r="A10" s="21" t="s">
        <v>307</v>
      </c>
      <c r="B10" s="21"/>
      <c r="C10" s="21"/>
      <c r="D10" s="21"/>
      <c r="E10" s="21"/>
      <c r="F10" s="21"/>
      <c r="G10" s="21"/>
      <c r="H10" s="21"/>
      <c r="I10" s="21">
        <v>4620</v>
      </c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</row>
    <row r="11" spans="1:25">
      <c r="A11" s="21" t="s">
        <v>308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>
        <v>2260</v>
      </c>
      <c r="X11" s="21"/>
      <c r="Y11" s="21"/>
    </row>
    <row r="12" spans="1:25">
      <c r="A12" s="21" t="s">
        <v>309</v>
      </c>
      <c r="B12" s="21"/>
      <c r="C12" s="21"/>
      <c r="D12" s="21"/>
      <c r="E12" s="21"/>
      <c r="F12" s="21"/>
      <c r="G12" s="21"/>
      <c r="H12" s="21"/>
      <c r="I12" s="21"/>
      <c r="J12" s="21">
        <v>2900</v>
      </c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>
        <v>2900</v>
      </c>
      <c r="Y12" s="21"/>
    </row>
    <row r="13" spans="1:25">
      <c r="A13" s="21" t="s">
        <v>310</v>
      </c>
      <c r="B13" s="21"/>
      <c r="C13" s="21"/>
      <c r="D13" s="21"/>
      <c r="E13" s="21"/>
      <c r="F13" s="21"/>
      <c r="G13" s="21"/>
      <c r="H13" s="21"/>
      <c r="I13" s="21"/>
      <c r="J13" s="21">
        <v>3280</v>
      </c>
      <c r="K13" s="21">
        <v>3110</v>
      </c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>
        <v>3280</v>
      </c>
      <c r="Y13" s="21">
        <v>3110</v>
      </c>
    </row>
    <row r="14" spans="1:25">
      <c r="A14" s="21" t="s">
        <v>311</v>
      </c>
      <c r="B14" s="21"/>
      <c r="C14" s="21"/>
      <c r="D14" s="21"/>
      <c r="E14" s="21"/>
      <c r="F14" s="21"/>
      <c r="G14" s="21"/>
      <c r="H14" s="21"/>
      <c r="I14" s="21"/>
      <c r="J14" s="21">
        <v>3850</v>
      </c>
      <c r="K14" s="21">
        <v>3680</v>
      </c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>
        <v>3850</v>
      </c>
      <c r="Y14" s="21">
        <v>3680</v>
      </c>
    </row>
    <row r="15" spans="1:25">
      <c r="A15" s="21" t="s">
        <v>312</v>
      </c>
      <c r="B15" s="21"/>
      <c r="C15" s="21"/>
      <c r="D15" s="21"/>
      <c r="E15" s="21"/>
      <c r="F15" s="21"/>
      <c r="G15" s="21"/>
      <c r="H15" s="21"/>
      <c r="I15" s="21"/>
      <c r="J15" s="21"/>
      <c r="K15" s="21">
        <v>4060</v>
      </c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>
        <v>4060</v>
      </c>
    </row>
  </sheetData>
  <mergeCells count="1">
    <mergeCell ref="A1:A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8EE00-0EAE-4E70-93F4-11475DBA49D2}">
  <sheetPr codeName="Arkusz6"/>
  <dimension ref="A1:Y13"/>
  <sheetViews>
    <sheetView topLeftCell="N1" workbookViewId="0">
      <selection sqref="A1:Y3"/>
    </sheetView>
  </sheetViews>
  <sheetFormatPr defaultRowHeight="14.4"/>
  <cols>
    <col min="1" max="1" width="25.109375" bestFit="1" customWidth="1"/>
    <col min="2" max="11" width="14.88671875" bestFit="1" customWidth="1"/>
    <col min="12" max="25" width="16" bestFit="1" customWidth="1"/>
  </cols>
  <sheetData>
    <row r="1" spans="1:25" ht="15" thickBot="1">
      <c r="A1" s="153" t="s">
        <v>313</v>
      </c>
      <c r="B1" s="18" t="s">
        <v>16</v>
      </c>
      <c r="C1" s="18" t="s">
        <v>16</v>
      </c>
      <c r="D1" s="18" t="s">
        <v>16</v>
      </c>
      <c r="E1" s="18" t="s">
        <v>16</v>
      </c>
      <c r="F1" s="18" t="s">
        <v>16</v>
      </c>
      <c r="G1" s="18" t="s">
        <v>16</v>
      </c>
      <c r="H1" s="18" t="s">
        <v>16</v>
      </c>
      <c r="I1" s="18" t="s">
        <v>16</v>
      </c>
      <c r="J1" s="18" t="s">
        <v>16</v>
      </c>
      <c r="K1" s="18" t="s">
        <v>16</v>
      </c>
      <c r="L1" s="17" t="s">
        <v>26</v>
      </c>
      <c r="M1" s="17" t="s">
        <v>26</v>
      </c>
      <c r="N1" s="17" t="s">
        <v>26</v>
      </c>
      <c r="O1" s="17" t="s">
        <v>26</v>
      </c>
      <c r="P1" s="17" t="s">
        <v>26</v>
      </c>
      <c r="Q1" s="17" t="s">
        <v>26</v>
      </c>
      <c r="R1" s="17" t="s">
        <v>26</v>
      </c>
      <c r="S1" s="17" t="s">
        <v>26</v>
      </c>
      <c r="T1" s="17" t="s">
        <v>26</v>
      </c>
      <c r="U1" s="17" t="s">
        <v>26</v>
      </c>
      <c r="V1" s="17" t="s">
        <v>26</v>
      </c>
      <c r="W1" s="17" t="s">
        <v>26</v>
      </c>
      <c r="X1" s="17" t="s">
        <v>26</v>
      </c>
      <c r="Y1" s="17" t="s">
        <v>26</v>
      </c>
    </row>
    <row r="2" spans="1:25" ht="15" thickBot="1">
      <c r="A2" s="153"/>
      <c r="B2" s="19" t="s">
        <v>41</v>
      </c>
      <c r="C2" s="19" t="s">
        <v>41</v>
      </c>
      <c r="D2" s="19" t="s">
        <v>41</v>
      </c>
      <c r="E2" s="19" t="s">
        <v>38</v>
      </c>
      <c r="F2" s="19" t="s">
        <v>38</v>
      </c>
      <c r="G2" s="19" t="s">
        <v>38</v>
      </c>
      <c r="H2" s="19" t="s">
        <v>38</v>
      </c>
      <c r="I2" s="19" t="s">
        <v>38</v>
      </c>
      <c r="J2" s="19" t="s">
        <v>38</v>
      </c>
      <c r="K2" s="19" t="s">
        <v>38</v>
      </c>
      <c r="L2" s="19" t="s">
        <v>42</v>
      </c>
      <c r="M2" s="19" t="s">
        <v>42</v>
      </c>
      <c r="N2" s="19" t="s">
        <v>42</v>
      </c>
      <c r="O2" s="19" t="s">
        <v>174</v>
      </c>
      <c r="P2" s="19" t="s">
        <v>174</v>
      </c>
      <c r="Q2" s="19" t="s">
        <v>174</v>
      </c>
      <c r="R2" s="19" t="s">
        <v>174</v>
      </c>
      <c r="S2" s="19" t="s">
        <v>38</v>
      </c>
      <c r="T2" s="19" t="s">
        <v>38</v>
      </c>
      <c r="U2" s="19" t="s">
        <v>38</v>
      </c>
      <c r="V2" s="19" t="s">
        <v>38</v>
      </c>
      <c r="W2" s="19" t="s">
        <v>38</v>
      </c>
      <c r="X2" s="19" t="s">
        <v>38</v>
      </c>
      <c r="Y2" s="19" t="s">
        <v>38</v>
      </c>
    </row>
    <row r="3" spans="1:25" ht="15.6">
      <c r="A3" s="154"/>
      <c r="B3" s="20" t="s">
        <v>17</v>
      </c>
      <c r="C3" s="20" t="s">
        <v>19</v>
      </c>
      <c r="D3" s="20" t="s">
        <v>20</v>
      </c>
      <c r="E3" s="20" t="s">
        <v>17</v>
      </c>
      <c r="F3" s="20" t="s">
        <v>19</v>
      </c>
      <c r="G3" s="20" t="s">
        <v>20</v>
      </c>
      <c r="H3" s="20" t="s">
        <v>22</v>
      </c>
      <c r="I3" s="20" t="s">
        <v>24</v>
      </c>
      <c r="J3" s="20" t="s">
        <v>297</v>
      </c>
      <c r="K3" s="20" t="s">
        <v>298</v>
      </c>
      <c r="L3" s="20" t="s">
        <v>17</v>
      </c>
      <c r="M3" s="20" t="s">
        <v>19</v>
      </c>
      <c r="N3" s="20" t="s">
        <v>20</v>
      </c>
      <c r="O3" s="20" t="s">
        <v>17</v>
      </c>
      <c r="P3" s="20" t="s">
        <v>19</v>
      </c>
      <c r="Q3" s="20" t="s">
        <v>20</v>
      </c>
      <c r="R3" s="20" t="s">
        <v>22</v>
      </c>
      <c r="S3" s="20" t="s">
        <v>17</v>
      </c>
      <c r="T3" s="20" t="s">
        <v>19</v>
      </c>
      <c r="U3" s="20" t="s">
        <v>20</v>
      </c>
      <c r="V3" s="20" t="s">
        <v>22</v>
      </c>
      <c r="W3" s="20" t="s">
        <v>24</v>
      </c>
      <c r="X3" s="20" t="s">
        <v>297</v>
      </c>
      <c r="Y3" s="20" t="s">
        <v>298</v>
      </c>
    </row>
    <row r="4" spans="1:25">
      <c r="A4" s="22" t="s">
        <v>314</v>
      </c>
      <c r="B4" s="22">
        <v>360</v>
      </c>
      <c r="C4" s="22">
        <v>360</v>
      </c>
      <c r="D4" s="22">
        <v>360</v>
      </c>
      <c r="E4" s="22">
        <v>360</v>
      </c>
      <c r="F4" s="22">
        <v>360</v>
      </c>
      <c r="G4" s="22">
        <v>360</v>
      </c>
      <c r="H4" s="22">
        <v>480</v>
      </c>
      <c r="I4" s="22">
        <v>480</v>
      </c>
      <c r="J4" s="22">
        <v>480</v>
      </c>
      <c r="K4" s="22">
        <v>480</v>
      </c>
      <c r="L4" s="22">
        <v>320</v>
      </c>
      <c r="M4" s="22">
        <v>320</v>
      </c>
      <c r="N4" s="22">
        <v>320</v>
      </c>
      <c r="O4" s="22">
        <v>320</v>
      </c>
      <c r="P4" s="22">
        <v>320</v>
      </c>
      <c r="Q4" s="22">
        <v>320</v>
      </c>
      <c r="R4" s="22">
        <v>410</v>
      </c>
      <c r="S4" s="22">
        <v>320</v>
      </c>
      <c r="T4" s="22">
        <v>320</v>
      </c>
      <c r="U4" s="22">
        <v>320</v>
      </c>
      <c r="V4" s="22">
        <v>410</v>
      </c>
      <c r="W4" s="22">
        <v>410</v>
      </c>
      <c r="X4" s="22">
        <v>410</v>
      </c>
      <c r="Y4" s="22">
        <v>410</v>
      </c>
    </row>
    <row r="8" spans="1:25" ht="15" thickBot="1"/>
    <row r="9" spans="1:25" ht="15" thickBot="1">
      <c r="A9" s="153" t="s">
        <v>317</v>
      </c>
      <c r="B9" s="18" t="s">
        <v>16</v>
      </c>
      <c r="C9" s="18" t="s">
        <v>16</v>
      </c>
      <c r="D9" s="18" t="s">
        <v>16</v>
      </c>
      <c r="E9" s="18" t="s">
        <v>16</v>
      </c>
      <c r="F9" s="18" t="s">
        <v>16</v>
      </c>
      <c r="G9" s="18" t="s">
        <v>16</v>
      </c>
      <c r="H9" s="18" t="s">
        <v>16</v>
      </c>
      <c r="I9" s="18" t="s">
        <v>16</v>
      </c>
      <c r="J9" s="18" t="s">
        <v>16</v>
      </c>
      <c r="K9" s="18" t="s">
        <v>16</v>
      </c>
      <c r="L9" s="17" t="s">
        <v>26</v>
      </c>
      <c r="M9" s="17" t="s">
        <v>26</v>
      </c>
      <c r="N9" s="17" t="s">
        <v>26</v>
      </c>
      <c r="O9" s="17" t="s">
        <v>26</v>
      </c>
      <c r="P9" s="17" t="s">
        <v>26</v>
      </c>
      <c r="Q9" s="17" t="s">
        <v>26</v>
      </c>
      <c r="R9" s="17" t="s">
        <v>26</v>
      </c>
      <c r="S9" s="17" t="s">
        <v>26</v>
      </c>
      <c r="T9" s="17" t="s">
        <v>26</v>
      </c>
      <c r="U9" s="17" t="s">
        <v>26</v>
      </c>
      <c r="V9" s="17" t="s">
        <v>26</v>
      </c>
      <c r="W9" s="17" t="s">
        <v>26</v>
      </c>
      <c r="X9" s="17" t="s">
        <v>26</v>
      </c>
      <c r="Y9" s="17" t="s">
        <v>26</v>
      </c>
    </row>
    <row r="10" spans="1:25" ht="15" thickBot="1">
      <c r="A10" s="153"/>
      <c r="B10" s="19" t="s">
        <v>41</v>
      </c>
      <c r="C10" s="19" t="s">
        <v>41</v>
      </c>
      <c r="D10" s="19" t="s">
        <v>41</v>
      </c>
      <c r="E10" s="19" t="s">
        <v>38</v>
      </c>
      <c r="F10" s="19" t="s">
        <v>38</v>
      </c>
      <c r="G10" s="19" t="s">
        <v>38</v>
      </c>
      <c r="H10" s="19" t="s">
        <v>38</v>
      </c>
      <c r="I10" s="19" t="s">
        <v>38</v>
      </c>
      <c r="J10" s="19" t="s">
        <v>38</v>
      </c>
      <c r="K10" s="19" t="s">
        <v>38</v>
      </c>
      <c r="L10" s="19" t="s">
        <v>42</v>
      </c>
      <c r="M10" s="19" t="s">
        <v>42</v>
      </c>
      <c r="N10" s="19" t="s">
        <v>42</v>
      </c>
      <c r="O10" s="19" t="s">
        <v>174</v>
      </c>
      <c r="P10" s="19" t="s">
        <v>174</v>
      </c>
      <c r="Q10" s="19" t="s">
        <v>174</v>
      </c>
      <c r="R10" s="19" t="s">
        <v>174</v>
      </c>
      <c r="S10" s="19" t="s">
        <v>38</v>
      </c>
      <c r="T10" s="19" t="s">
        <v>38</v>
      </c>
      <c r="U10" s="19" t="s">
        <v>38</v>
      </c>
      <c r="V10" s="19" t="s">
        <v>38</v>
      </c>
      <c r="W10" s="19" t="s">
        <v>38</v>
      </c>
      <c r="X10" s="19" t="s">
        <v>38</v>
      </c>
      <c r="Y10" s="19" t="s">
        <v>38</v>
      </c>
    </row>
    <row r="11" spans="1:25" ht="15.6">
      <c r="A11" s="154"/>
      <c r="B11" s="20" t="s">
        <v>17</v>
      </c>
      <c r="C11" s="20" t="s">
        <v>19</v>
      </c>
      <c r="D11" s="20" t="s">
        <v>20</v>
      </c>
      <c r="E11" s="20" t="s">
        <v>17</v>
      </c>
      <c r="F11" s="20" t="s">
        <v>19</v>
      </c>
      <c r="G11" s="20" t="s">
        <v>20</v>
      </c>
      <c r="H11" s="20" t="s">
        <v>22</v>
      </c>
      <c r="I11" s="20" t="s">
        <v>24</v>
      </c>
      <c r="J11" s="20" t="s">
        <v>297</v>
      </c>
      <c r="K11" s="20" t="s">
        <v>298</v>
      </c>
      <c r="L11" s="20" t="s">
        <v>17</v>
      </c>
      <c r="M11" s="20" t="s">
        <v>19</v>
      </c>
      <c r="N11" s="20" t="s">
        <v>20</v>
      </c>
      <c r="O11" s="20" t="s">
        <v>17</v>
      </c>
      <c r="P11" s="20" t="s">
        <v>19</v>
      </c>
      <c r="Q11" s="20" t="s">
        <v>20</v>
      </c>
      <c r="R11" s="20" t="s">
        <v>22</v>
      </c>
      <c r="S11" s="20" t="s">
        <v>17</v>
      </c>
      <c r="T11" s="20" t="s">
        <v>19</v>
      </c>
      <c r="U11" s="20" t="s">
        <v>20</v>
      </c>
      <c r="V11" s="20" t="s">
        <v>22</v>
      </c>
      <c r="W11" s="20" t="s">
        <v>24</v>
      </c>
      <c r="X11" s="20" t="s">
        <v>297</v>
      </c>
      <c r="Y11" s="20" t="s">
        <v>298</v>
      </c>
    </row>
    <row r="12" spans="1:25">
      <c r="A12" s="22" t="s">
        <v>315</v>
      </c>
      <c r="B12" s="22">
        <v>60</v>
      </c>
      <c r="C12" s="22">
        <v>60</v>
      </c>
      <c r="D12" s="22">
        <v>60</v>
      </c>
      <c r="E12" s="22">
        <v>60</v>
      </c>
      <c r="F12" s="22">
        <v>60</v>
      </c>
      <c r="G12" s="22">
        <v>60</v>
      </c>
      <c r="H12" s="22">
        <v>60</v>
      </c>
      <c r="I12" s="22">
        <v>60</v>
      </c>
      <c r="J12" s="22">
        <v>60</v>
      </c>
      <c r="K12" s="22">
        <v>60</v>
      </c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</row>
    <row r="13" spans="1:25">
      <c r="A13" s="22" t="s">
        <v>316</v>
      </c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>
        <v>20</v>
      </c>
      <c r="M13" s="22">
        <v>20</v>
      </c>
      <c r="N13" s="22">
        <v>20</v>
      </c>
      <c r="O13" s="22">
        <v>20</v>
      </c>
      <c r="P13" s="22">
        <v>20</v>
      </c>
      <c r="Q13" s="22">
        <v>20</v>
      </c>
      <c r="R13" s="22">
        <v>20</v>
      </c>
      <c r="S13" s="22">
        <v>20</v>
      </c>
      <c r="T13" s="22">
        <v>20</v>
      </c>
      <c r="U13" s="22">
        <v>20</v>
      </c>
      <c r="V13" s="22">
        <v>20</v>
      </c>
      <c r="W13" s="22">
        <v>20</v>
      </c>
      <c r="X13" s="22">
        <v>20</v>
      </c>
      <c r="Y13" s="22">
        <v>20</v>
      </c>
    </row>
  </sheetData>
  <mergeCells count="2">
    <mergeCell ref="A1:A3"/>
    <mergeCell ref="A9:A1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83C71-F397-4F69-A62F-F3EFFB5A0AB1}">
  <sheetPr codeName="Arkusz7"/>
  <dimension ref="A1:Y17"/>
  <sheetViews>
    <sheetView workbookViewId="0">
      <selection activeCell="Y23" sqref="Y23"/>
    </sheetView>
  </sheetViews>
  <sheetFormatPr defaultRowHeight="14.4"/>
  <cols>
    <col min="1" max="1" width="37.5546875" customWidth="1"/>
    <col min="2" max="11" width="14.88671875" bestFit="1" customWidth="1"/>
    <col min="12" max="25" width="16" bestFit="1" customWidth="1"/>
  </cols>
  <sheetData>
    <row r="1" spans="1:25" ht="15" thickBot="1">
      <c r="A1" s="153" t="s">
        <v>318</v>
      </c>
      <c r="B1" s="18" t="s">
        <v>16</v>
      </c>
      <c r="C1" s="18" t="s">
        <v>16</v>
      </c>
      <c r="D1" s="18" t="s">
        <v>16</v>
      </c>
      <c r="E1" s="18" t="s">
        <v>16</v>
      </c>
      <c r="F1" s="18" t="s">
        <v>16</v>
      </c>
      <c r="G1" s="18" t="s">
        <v>16</v>
      </c>
      <c r="H1" s="18" t="s">
        <v>16</v>
      </c>
      <c r="I1" s="18" t="s">
        <v>16</v>
      </c>
      <c r="J1" s="18" t="s">
        <v>16</v>
      </c>
      <c r="K1" s="18" t="s">
        <v>16</v>
      </c>
      <c r="L1" s="17" t="s">
        <v>26</v>
      </c>
      <c r="M1" s="17" t="s">
        <v>26</v>
      </c>
      <c r="N1" s="17" t="s">
        <v>26</v>
      </c>
      <c r="O1" s="17" t="s">
        <v>26</v>
      </c>
      <c r="P1" s="17" t="s">
        <v>26</v>
      </c>
      <c r="Q1" s="17" t="s">
        <v>26</v>
      </c>
      <c r="R1" s="17" t="s">
        <v>26</v>
      </c>
      <c r="S1" s="17" t="s">
        <v>26</v>
      </c>
      <c r="T1" s="17" t="s">
        <v>26</v>
      </c>
      <c r="U1" s="17" t="s">
        <v>26</v>
      </c>
      <c r="V1" s="17" t="s">
        <v>26</v>
      </c>
      <c r="W1" s="17" t="s">
        <v>26</v>
      </c>
      <c r="X1" s="17" t="s">
        <v>26</v>
      </c>
      <c r="Y1" s="17" t="s">
        <v>26</v>
      </c>
    </row>
    <row r="2" spans="1:25" ht="15" thickBot="1">
      <c r="A2" s="153"/>
      <c r="B2" s="19" t="s">
        <v>41</v>
      </c>
      <c r="C2" s="19" t="s">
        <v>41</v>
      </c>
      <c r="D2" s="19" t="s">
        <v>41</v>
      </c>
      <c r="E2" s="19" t="s">
        <v>38</v>
      </c>
      <c r="F2" s="19" t="s">
        <v>38</v>
      </c>
      <c r="G2" s="19" t="s">
        <v>38</v>
      </c>
      <c r="H2" s="19" t="s">
        <v>38</v>
      </c>
      <c r="I2" s="19" t="s">
        <v>38</v>
      </c>
      <c r="J2" s="19" t="s">
        <v>38</v>
      </c>
      <c r="K2" s="19" t="s">
        <v>38</v>
      </c>
      <c r="L2" s="19" t="s">
        <v>42</v>
      </c>
      <c r="M2" s="19" t="s">
        <v>42</v>
      </c>
      <c r="N2" s="19" t="s">
        <v>42</v>
      </c>
      <c r="O2" s="19" t="s">
        <v>174</v>
      </c>
      <c r="P2" s="19" t="s">
        <v>174</v>
      </c>
      <c r="Q2" s="19" t="s">
        <v>174</v>
      </c>
      <c r="R2" s="19" t="s">
        <v>174</v>
      </c>
      <c r="S2" s="19" t="s">
        <v>38</v>
      </c>
      <c r="T2" s="19" t="s">
        <v>38</v>
      </c>
      <c r="U2" s="19" t="s">
        <v>38</v>
      </c>
      <c r="V2" s="19" t="s">
        <v>38</v>
      </c>
      <c r="W2" s="19" t="s">
        <v>38</v>
      </c>
      <c r="X2" s="19" t="s">
        <v>38</v>
      </c>
      <c r="Y2" s="19" t="s">
        <v>38</v>
      </c>
    </row>
    <row r="3" spans="1:25" ht="15.6">
      <c r="A3" s="154"/>
      <c r="B3" s="20" t="s">
        <v>17</v>
      </c>
      <c r="C3" s="20" t="s">
        <v>19</v>
      </c>
      <c r="D3" s="20" t="s">
        <v>20</v>
      </c>
      <c r="E3" s="20" t="s">
        <v>17</v>
      </c>
      <c r="F3" s="20" t="s">
        <v>19</v>
      </c>
      <c r="G3" s="20" t="s">
        <v>20</v>
      </c>
      <c r="H3" s="20" t="s">
        <v>22</v>
      </c>
      <c r="I3" s="20" t="s">
        <v>24</v>
      </c>
      <c r="J3" s="20" t="s">
        <v>297</v>
      </c>
      <c r="K3" s="20" t="s">
        <v>298</v>
      </c>
      <c r="L3" s="20" t="s">
        <v>17</v>
      </c>
      <c r="M3" s="20" t="s">
        <v>19</v>
      </c>
      <c r="N3" s="20" t="s">
        <v>20</v>
      </c>
      <c r="O3" s="20" t="s">
        <v>17</v>
      </c>
      <c r="P3" s="20" t="s">
        <v>19</v>
      </c>
      <c r="Q3" s="20" t="s">
        <v>20</v>
      </c>
      <c r="R3" s="20" t="s">
        <v>22</v>
      </c>
      <c r="S3" s="20" t="s">
        <v>17</v>
      </c>
      <c r="T3" s="20" t="s">
        <v>19</v>
      </c>
      <c r="U3" s="20" t="s">
        <v>20</v>
      </c>
      <c r="V3" s="20" t="s">
        <v>22</v>
      </c>
      <c r="W3" s="20" t="s">
        <v>24</v>
      </c>
      <c r="X3" s="20" t="s">
        <v>297</v>
      </c>
      <c r="Y3" s="20" t="s">
        <v>298</v>
      </c>
    </row>
    <row r="4" spans="1:25">
      <c r="A4" s="22" t="s">
        <v>319</v>
      </c>
      <c r="B4" s="22">
        <v>1480</v>
      </c>
      <c r="C4" s="22">
        <v>1480</v>
      </c>
      <c r="D4" s="22">
        <v>1480</v>
      </c>
      <c r="E4" s="22">
        <v>1480</v>
      </c>
      <c r="F4" s="22">
        <v>1480</v>
      </c>
      <c r="G4" s="22">
        <v>1480</v>
      </c>
      <c r="H4" s="22">
        <v>1820</v>
      </c>
      <c r="I4" s="22">
        <v>1820</v>
      </c>
      <c r="J4" s="22">
        <v>1820</v>
      </c>
      <c r="K4" s="22">
        <v>1820</v>
      </c>
      <c r="L4" s="22">
        <v>2040</v>
      </c>
      <c r="M4" s="22">
        <v>2040</v>
      </c>
      <c r="N4" s="22">
        <v>2040</v>
      </c>
      <c r="O4" s="22">
        <v>2040</v>
      </c>
      <c r="P4" s="22">
        <v>2040</v>
      </c>
      <c r="Q4" s="22">
        <v>2040</v>
      </c>
      <c r="R4" s="22">
        <v>2040</v>
      </c>
      <c r="S4" s="22">
        <v>2040</v>
      </c>
      <c r="T4" s="22">
        <v>2040</v>
      </c>
      <c r="U4" s="22">
        <v>2040</v>
      </c>
      <c r="V4" s="22">
        <v>2040</v>
      </c>
      <c r="W4" s="22">
        <v>2430</v>
      </c>
      <c r="X4" s="22">
        <v>2430</v>
      </c>
      <c r="Y4" s="22">
        <v>2430</v>
      </c>
    </row>
    <row r="5" spans="1:25">
      <c r="A5" s="22" t="s">
        <v>320</v>
      </c>
      <c r="B5" s="22">
        <v>220</v>
      </c>
      <c r="C5" s="22">
        <v>220</v>
      </c>
      <c r="D5" s="22">
        <v>220</v>
      </c>
      <c r="E5" s="22">
        <v>220</v>
      </c>
      <c r="F5" s="22">
        <v>220</v>
      </c>
      <c r="G5" s="22">
        <v>220</v>
      </c>
      <c r="H5" s="22">
        <v>240</v>
      </c>
      <c r="I5" s="22">
        <v>240</v>
      </c>
      <c r="J5" s="22">
        <v>240</v>
      </c>
      <c r="K5" s="22">
        <v>240</v>
      </c>
      <c r="L5" s="22">
        <v>220</v>
      </c>
      <c r="M5" s="22">
        <v>220</v>
      </c>
      <c r="N5" s="22">
        <v>220</v>
      </c>
      <c r="O5" s="22">
        <v>220</v>
      </c>
      <c r="P5" s="22">
        <v>220</v>
      </c>
      <c r="Q5" s="22">
        <v>220</v>
      </c>
      <c r="R5" s="22">
        <v>240</v>
      </c>
      <c r="S5" s="22">
        <v>220</v>
      </c>
      <c r="T5" s="22">
        <v>220</v>
      </c>
      <c r="U5" s="22">
        <v>220</v>
      </c>
      <c r="V5" s="22">
        <v>240</v>
      </c>
      <c r="W5" s="22">
        <v>240</v>
      </c>
      <c r="X5" s="22">
        <v>240</v>
      </c>
      <c r="Y5" s="22">
        <v>240</v>
      </c>
    </row>
    <row r="6" spans="1:25">
      <c r="A6" s="22" t="s">
        <v>321</v>
      </c>
      <c r="B6" s="22">
        <v>180</v>
      </c>
      <c r="C6" s="22">
        <v>180</v>
      </c>
      <c r="D6" s="22">
        <v>180</v>
      </c>
      <c r="E6" s="22">
        <v>180</v>
      </c>
      <c r="F6" s="22">
        <v>180</v>
      </c>
      <c r="G6" s="22">
        <v>180</v>
      </c>
      <c r="H6" s="22">
        <v>180</v>
      </c>
      <c r="I6" s="22">
        <v>180</v>
      </c>
      <c r="J6" s="22">
        <v>180</v>
      </c>
      <c r="K6" s="22">
        <v>180</v>
      </c>
      <c r="L6" s="22">
        <v>200</v>
      </c>
      <c r="M6" s="22">
        <v>200</v>
      </c>
      <c r="N6" s="22">
        <v>200</v>
      </c>
      <c r="O6" s="22">
        <v>200</v>
      </c>
      <c r="P6" s="22">
        <v>200</v>
      </c>
      <c r="Q6" s="22">
        <v>200</v>
      </c>
      <c r="R6" s="22">
        <v>220</v>
      </c>
      <c r="S6" s="22">
        <v>200</v>
      </c>
      <c r="T6" s="22">
        <v>200</v>
      </c>
      <c r="U6" s="22">
        <v>200</v>
      </c>
      <c r="V6" s="22">
        <v>220</v>
      </c>
      <c r="W6" s="22">
        <v>220</v>
      </c>
      <c r="X6" s="22">
        <v>220</v>
      </c>
      <c r="Y6" s="22">
        <v>220</v>
      </c>
    </row>
    <row r="7" spans="1:25">
      <c r="A7" s="22" t="s">
        <v>322</v>
      </c>
      <c r="B7" s="22">
        <v>170</v>
      </c>
      <c r="C7" s="22">
        <v>170</v>
      </c>
      <c r="D7" s="22">
        <v>170</v>
      </c>
      <c r="E7" s="22">
        <v>170</v>
      </c>
      <c r="F7" s="22">
        <v>170</v>
      </c>
      <c r="G7" s="22">
        <v>170</v>
      </c>
      <c r="H7" s="22">
        <v>180</v>
      </c>
      <c r="I7" s="22">
        <v>180</v>
      </c>
      <c r="J7" s="22">
        <v>180</v>
      </c>
      <c r="K7" s="22">
        <v>180</v>
      </c>
      <c r="L7" s="22">
        <v>200</v>
      </c>
      <c r="M7" s="22">
        <v>200</v>
      </c>
      <c r="N7" s="22">
        <v>200</v>
      </c>
      <c r="O7" s="22">
        <v>200</v>
      </c>
      <c r="P7" s="22">
        <v>200</v>
      </c>
      <c r="Q7" s="22">
        <v>200</v>
      </c>
      <c r="R7" s="22">
        <v>200</v>
      </c>
      <c r="S7" s="22">
        <v>200</v>
      </c>
      <c r="T7" s="22">
        <v>200</v>
      </c>
      <c r="U7" s="22">
        <v>200</v>
      </c>
      <c r="V7" s="22">
        <v>200</v>
      </c>
      <c r="W7" s="22">
        <v>200</v>
      </c>
      <c r="X7" s="22">
        <v>200</v>
      </c>
      <c r="Y7" s="22">
        <v>200</v>
      </c>
    </row>
    <row r="8" spans="1:25">
      <c r="A8" s="22" t="s">
        <v>323</v>
      </c>
      <c r="B8" s="22">
        <v>390</v>
      </c>
      <c r="C8" s="22">
        <v>390</v>
      </c>
      <c r="D8" s="22">
        <v>390</v>
      </c>
      <c r="E8" s="22">
        <v>390</v>
      </c>
      <c r="F8" s="22">
        <v>390</v>
      </c>
      <c r="G8" s="22">
        <v>390</v>
      </c>
      <c r="H8" s="22">
        <v>420</v>
      </c>
      <c r="I8" s="22">
        <v>420</v>
      </c>
      <c r="J8" s="22">
        <v>420</v>
      </c>
      <c r="K8" s="22">
        <v>420</v>
      </c>
      <c r="L8" s="22">
        <v>420</v>
      </c>
      <c r="M8" s="22">
        <v>420</v>
      </c>
      <c r="N8" s="22">
        <v>420</v>
      </c>
      <c r="O8" s="22">
        <v>420</v>
      </c>
      <c r="P8" s="22">
        <v>420</v>
      </c>
      <c r="Q8" s="22">
        <v>420</v>
      </c>
      <c r="R8" s="22">
        <v>460</v>
      </c>
      <c r="S8" s="22">
        <v>420</v>
      </c>
      <c r="T8" s="22">
        <v>420</v>
      </c>
      <c r="U8" s="22">
        <v>420</v>
      </c>
      <c r="V8" s="22">
        <v>460</v>
      </c>
      <c r="W8" s="22">
        <v>460</v>
      </c>
      <c r="X8" s="22">
        <v>460</v>
      </c>
      <c r="Y8" s="22">
        <v>460</v>
      </c>
    </row>
    <row r="9" spans="1:25">
      <c r="A9" s="22" t="s">
        <v>324</v>
      </c>
      <c r="B9" s="22">
        <v>570</v>
      </c>
      <c r="C9" s="22">
        <v>570</v>
      </c>
      <c r="D9" s="22">
        <v>570</v>
      </c>
      <c r="E9" s="22">
        <v>570</v>
      </c>
      <c r="F9" s="22">
        <v>570</v>
      </c>
      <c r="G9" s="22">
        <v>570</v>
      </c>
      <c r="H9" s="22">
        <v>600</v>
      </c>
      <c r="I9" s="22">
        <v>600</v>
      </c>
      <c r="J9" s="22">
        <v>600</v>
      </c>
      <c r="K9" s="22">
        <v>600</v>
      </c>
      <c r="L9" s="22">
        <v>1100</v>
      </c>
      <c r="M9" s="22">
        <v>1100</v>
      </c>
      <c r="N9" s="22">
        <v>1100</v>
      </c>
      <c r="O9" s="22">
        <v>1100</v>
      </c>
      <c r="P9" s="22">
        <v>1100</v>
      </c>
      <c r="Q9" s="22">
        <v>1100</v>
      </c>
      <c r="R9" s="22">
        <v>1140</v>
      </c>
      <c r="S9" s="22">
        <v>1100</v>
      </c>
      <c r="T9" s="22">
        <v>1100</v>
      </c>
      <c r="U9" s="22">
        <v>1100</v>
      </c>
      <c r="V9" s="22">
        <v>1140</v>
      </c>
      <c r="W9" s="22">
        <v>1140</v>
      </c>
      <c r="X9" s="22">
        <v>1140</v>
      </c>
      <c r="Y9" s="22">
        <v>1140</v>
      </c>
    </row>
    <row r="10" spans="1:25">
      <c r="A10" s="22" t="s">
        <v>409</v>
      </c>
      <c r="B10" s="22">
        <v>2700</v>
      </c>
      <c r="C10" s="22">
        <v>2700</v>
      </c>
      <c r="D10" s="22">
        <v>2700</v>
      </c>
      <c r="E10" s="22">
        <v>2700</v>
      </c>
      <c r="F10" s="22">
        <v>2700</v>
      </c>
      <c r="G10" s="22">
        <v>2700</v>
      </c>
      <c r="H10" s="22">
        <v>3160</v>
      </c>
      <c r="I10" s="22">
        <v>3160</v>
      </c>
      <c r="J10" s="22">
        <v>3160</v>
      </c>
      <c r="K10" s="22">
        <v>3160</v>
      </c>
      <c r="L10" s="22">
        <v>3260</v>
      </c>
      <c r="M10" s="22">
        <v>3260</v>
      </c>
      <c r="N10" s="22">
        <v>3260</v>
      </c>
      <c r="O10" s="22">
        <v>3260</v>
      </c>
      <c r="P10" s="22">
        <v>3260</v>
      </c>
      <c r="Q10" s="22">
        <v>3260</v>
      </c>
      <c r="R10" s="22">
        <v>3260</v>
      </c>
      <c r="S10" s="22">
        <v>3260</v>
      </c>
      <c r="T10" s="22">
        <v>3260</v>
      </c>
      <c r="U10" s="22">
        <v>3260</v>
      </c>
      <c r="V10" s="22"/>
      <c r="W10" s="22"/>
      <c r="X10" s="22"/>
      <c r="Y10" s="22"/>
    </row>
    <row r="11" spans="1:25">
      <c r="A11" s="36" t="s">
        <v>408</v>
      </c>
      <c r="B11" s="36">
        <v>0</v>
      </c>
      <c r="C11" s="36">
        <v>0</v>
      </c>
      <c r="D11" s="36">
        <v>0</v>
      </c>
      <c r="E11" s="36">
        <v>0</v>
      </c>
      <c r="F11" s="36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36">
        <v>0</v>
      </c>
      <c r="U11" s="36">
        <v>0</v>
      </c>
      <c r="V11" s="36">
        <v>0</v>
      </c>
      <c r="W11" s="36">
        <v>0</v>
      </c>
      <c r="X11" s="36">
        <v>0</v>
      </c>
      <c r="Y11" s="36">
        <v>0</v>
      </c>
    </row>
    <row r="17" spans="1: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</row>
  </sheetData>
  <mergeCells count="1">
    <mergeCell ref="A1:A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38DE-131E-467B-9381-67DF0A2B173E}">
  <sheetPr codeName="Arkusz8"/>
  <dimension ref="A1:Y6"/>
  <sheetViews>
    <sheetView workbookViewId="0">
      <selection activeCell="C10" sqref="C10"/>
    </sheetView>
  </sheetViews>
  <sheetFormatPr defaultRowHeight="14.4"/>
  <cols>
    <col min="1" max="1" width="25.21875" bestFit="1" customWidth="1"/>
    <col min="2" max="11" width="14.88671875" bestFit="1" customWidth="1"/>
    <col min="12" max="25" width="16" bestFit="1" customWidth="1"/>
  </cols>
  <sheetData>
    <row r="1" spans="1:25" ht="15" thickBot="1">
      <c r="A1" s="153" t="s">
        <v>325</v>
      </c>
      <c r="B1" s="18" t="s">
        <v>16</v>
      </c>
      <c r="C1" s="18" t="s">
        <v>16</v>
      </c>
      <c r="D1" s="18" t="s">
        <v>16</v>
      </c>
      <c r="E1" s="18" t="s">
        <v>16</v>
      </c>
      <c r="F1" s="18" t="s">
        <v>16</v>
      </c>
      <c r="G1" s="18" t="s">
        <v>16</v>
      </c>
      <c r="H1" s="18" t="s">
        <v>16</v>
      </c>
      <c r="I1" s="18" t="s">
        <v>16</v>
      </c>
      <c r="J1" s="18" t="s">
        <v>16</v>
      </c>
      <c r="K1" s="18" t="s">
        <v>16</v>
      </c>
      <c r="L1" s="17" t="s">
        <v>26</v>
      </c>
      <c r="M1" s="17" t="s">
        <v>26</v>
      </c>
      <c r="N1" s="17" t="s">
        <v>26</v>
      </c>
      <c r="O1" s="17" t="s">
        <v>26</v>
      </c>
      <c r="P1" s="17" t="s">
        <v>26</v>
      </c>
      <c r="Q1" s="17" t="s">
        <v>26</v>
      </c>
      <c r="R1" s="17" t="s">
        <v>26</v>
      </c>
      <c r="S1" s="17" t="s">
        <v>26</v>
      </c>
      <c r="T1" s="17" t="s">
        <v>26</v>
      </c>
      <c r="U1" s="17" t="s">
        <v>26</v>
      </c>
      <c r="V1" s="17" t="s">
        <v>26</v>
      </c>
      <c r="W1" s="17" t="s">
        <v>26</v>
      </c>
      <c r="X1" s="17" t="s">
        <v>26</v>
      </c>
      <c r="Y1" s="17" t="s">
        <v>26</v>
      </c>
    </row>
    <row r="2" spans="1:25" ht="15" thickBot="1">
      <c r="A2" s="153"/>
      <c r="B2" s="19" t="s">
        <v>41</v>
      </c>
      <c r="C2" s="19" t="s">
        <v>41</v>
      </c>
      <c r="D2" s="19" t="s">
        <v>41</v>
      </c>
      <c r="E2" s="19" t="s">
        <v>38</v>
      </c>
      <c r="F2" s="19" t="s">
        <v>38</v>
      </c>
      <c r="G2" s="19" t="s">
        <v>38</v>
      </c>
      <c r="H2" s="19" t="s">
        <v>38</v>
      </c>
      <c r="I2" s="19" t="s">
        <v>38</v>
      </c>
      <c r="J2" s="19" t="s">
        <v>38</v>
      </c>
      <c r="K2" s="19" t="s">
        <v>38</v>
      </c>
      <c r="L2" s="19" t="s">
        <v>42</v>
      </c>
      <c r="M2" s="19" t="s">
        <v>42</v>
      </c>
      <c r="N2" s="19" t="s">
        <v>42</v>
      </c>
      <c r="O2" s="19" t="s">
        <v>174</v>
      </c>
      <c r="P2" s="19" t="s">
        <v>174</v>
      </c>
      <c r="Q2" s="19" t="s">
        <v>174</v>
      </c>
      <c r="R2" s="19" t="s">
        <v>174</v>
      </c>
      <c r="S2" s="19" t="s">
        <v>38</v>
      </c>
      <c r="T2" s="19" t="s">
        <v>38</v>
      </c>
      <c r="U2" s="19" t="s">
        <v>38</v>
      </c>
      <c r="V2" s="19" t="s">
        <v>38</v>
      </c>
      <c r="W2" s="19" t="s">
        <v>38</v>
      </c>
      <c r="X2" s="19" t="s">
        <v>38</v>
      </c>
      <c r="Y2" s="19" t="s">
        <v>38</v>
      </c>
    </row>
    <row r="3" spans="1:25" ht="15.6">
      <c r="A3" s="154"/>
      <c r="B3" s="20" t="s">
        <v>17</v>
      </c>
      <c r="C3" s="20" t="s">
        <v>19</v>
      </c>
      <c r="D3" s="20" t="s">
        <v>20</v>
      </c>
      <c r="E3" s="20" t="s">
        <v>17</v>
      </c>
      <c r="F3" s="20" t="s">
        <v>19</v>
      </c>
      <c r="G3" s="20" t="s">
        <v>20</v>
      </c>
      <c r="H3" s="20" t="s">
        <v>22</v>
      </c>
      <c r="I3" s="20" t="s">
        <v>24</v>
      </c>
      <c r="J3" s="20" t="s">
        <v>297</v>
      </c>
      <c r="K3" s="20" t="s">
        <v>298</v>
      </c>
      <c r="L3" s="20" t="s">
        <v>17</v>
      </c>
      <c r="M3" s="20" t="s">
        <v>19</v>
      </c>
      <c r="N3" s="20" t="s">
        <v>20</v>
      </c>
      <c r="O3" s="20" t="s">
        <v>17</v>
      </c>
      <c r="P3" s="20" t="s">
        <v>19</v>
      </c>
      <c r="Q3" s="20" t="s">
        <v>20</v>
      </c>
      <c r="R3" s="20" t="s">
        <v>22</v>
      </c>
      <c r="S3" s="20" t="s">
        <v>17</v>
      </c>
      <c r="T3" s="20" t="s">
        <v>19</v>
      </c>
      <c r="U3" s="20" t="s">
        <v>20</v>
      </c>
      <c r="V3" s="20" t="s">
        <v>22</v>
      </c>
      <c r="W3" s="20" t="s">
        <v>24</v>
      </c>
      <c r="X3" s="20" t="s">
        <v>297</v>
      </c>
      <c r="Y3" s="20" t="s">
        <v>298</v>
      </c>
    </row>
    <row r="4" spans="1:25">
      <c r="A4" s="22" t="s">
        <v>415</v>
      </c>
      <c r="B4" s="22">
        <v>170</v>
      </c>
      <c r="C4" s="22">
        <v>170</v>
      </c>
      <c r="D4" s="22">
        <v>170</v>
      </c>
      <c r="E4" s="22">
        <v>130</v>
      </c>
      <c r="F4" s="22">
        <v>130</v>
      </c>
      <c r="G4" s="22">
        <v>130</v>
      </c>
      <c r="H4" s="22">
        <v>170</v>
      </c>
      <c r="I4" s="22">
        <v>170</v>
      </c>
      <c r="J4" s="22">
        <v>170</v>
      </c>
      <c r="K4" s="22">
        <v>170</v>
      </c>
      <c r="L4" s="22">
        <v>130</v>
      </c>
      <c r="M4" s="22">
        <v>130</v>
      </c>
      <c r="N4" s="22">
        <v>130</v>
      </c>
      <c r="O4" s="22">
        <v>130</v>
      </c>
      <c r="P4" s="22">
        <v>130</v>
      </c>
      <c r="Q4" s="22">
        <v>130</v>
      </c>
      <c r="R4" s="22">
        <v>130</v>
      </c>
      <c r="S4" s="22">
        <v>130</v>
      </c>
      <c r="T4" s="22">
        <v>130</v>
      </c>
      <c r="U4" s="22">
        <v>130</v>
      </c>
      <c r="V4" s="22"/>
      <c r="W4" s="22"/>
      <c r="X4" s="22"/>
      <c r="Y4" s="22"/>
    </row>
    <row r="5" spans="1:25">
      <c r="A5" s="22" t="s">
        <v>327</v>
      </c>
      <c r="B5" s="22">
        <v>270</v>
      </c>
      <c r="C5" s="22">
        <v>270</v>
      </c>
      <c r="D5" s="22">
        <v>270</v>
      </c>
      <c r="E5" s="22">
        <v>290</v>
      </c>
      <c r="F5" s="22">
        <v>290</v>
      </c>
      <c r="G5" s="22">
        <v>290</v>
      </c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>
        <v>0</v>
      </c>
      <c r="W5" s="22">
        <v>0</v>
      </c>
      <c r="X5" s="22">
        <v>0</v>
      </c>
      <c r="Y5" s="22">
        <v>0</v>
      </c>
    </row>
    <row r="6" spans="1:25">
      <c r="A6" s="22" t="s">
        <v>326</v>
      </c>
      <c r="B6" s="22"/>
      <c r="C6" s="22">
        <v>3770</v>
      </c>
      <c r="D6" s="22">
        <v>3770</v>
      </c>
      <c r="E6" s="22"/>
      <c r="F6" s="22">
        <v>3790</v>
      </c>
      <c r="G6" s="22">
        <v>3790</v>
      </c>
      <c r="H6" s="22">
        <v>6550</v>
      </c>
      <c r="I6" s="22">
        <v>4670</v>
      </c>
      <c r="J6" s="22">
        <v>4670</v>
      </c>
      <c r="K6" s="22">
        <v>4670</v>
      </c>
      <c r="L6" s="22"/>
      <c r="M6" s="22"/>
      <c r="N6" s="22"/>
      <c r="O6" s="22">
        <v>3770</v>
      </c>
      <c r="P6" s="22">
        <v>3770</v>
      </c>
      <c r="Q6" s="22">
        <v>3770</v>
      </c>
      <c r="R6" s="22"/>
      <c r="S6" s="22">
        <v>3770</v>
      </c>
      <c r="T6" s="22">
        <v>3770</v>
      </c>
      <c r="U6" s="22">
        <v>3770</v>
      </c>
      <c r="V6" s="22">
        <v>4280</v>
      </c>
      <c r="W6" s="22">
        <v>6260</v>
      </c>
      <c r="X6" s="22">
        <v>6260</v>
      </c>
      <c r="Y6" s="22">
        <v>6260</v>
      </c>
    </row>
  </sheetData>
  <mergeCells count="1">
    <mergeCell ref="A1:A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E0D65-3086-4B9B-B77A-D819C317A944}">
  <sheetPr codeName="Arkusz9"/>
  <dimension ref="A1:Y22"/>
  <sheetViews>
    <sheetView workbookViewId="0">
      <selection activeCell="A34" sqref="A34"/>
    </sheetView>
  </sheetViews>
  <sheetFormatPr defaultRowHeight="14.4"/>
  <cols>
    <col min="1" max="1" width="7.109375" bestFit="1" customWidth="1"/>
    <col min="2" max="11" width="14.88671875" bestFit="1" customWidth="1"/>
    <col min="12" max="25" width="16" bestFit="1" customWidth="1"/>
  </cols>
  <sheetData>
    <row r="1" spans="1:25" ht="15" thickBot="1">
      <c r="A1" s="153" t="s">
        <v>328</v>
      </c>
      <c r="B1" s="18" t="s">
        <v>16</v>
      </c>
      <c r="C1" s="18" t="s">
        <v>16</v>
      </c>
      <c r="D1" s="18" t="s">
        <v>16</v>
      </c>
      <c r="E1" s="18" t="s">
        <v>16</v>
      </c>
      <c r="F1" s="18" t="s">
        <v>16</v>
      </c>
      <c r="G1" s="18" t="s">
        <v>16</v>
      </c>
      <c r="H1" s="18" t="s">
        <v>16</v>
      </c>
      <c r="I1" s="18" t="s">
        <v>16</v>
      </c>
      <c r="J1" s="18" t="s">
        <v>16</v>
      </c>
      <c r="K1" s="18" t="s">
        <v>16</v>
      </c>
      <c r="L1" s="17" t="s">
        <v>26</v>
      </c>
      <c r="M1" s="17" t="s">
        <v>26</v>
      </c>
      <c r="N1" s="17" t="s">
        <v>26</v>
      </c>
      <c r="O1" s="17" t="s">
        <v>26</v>
      </c>
      <c r="P1" s="17" t="s">
        <v>26</v>
      </c>
      <c r="Q1" s="17" t="s">
        <v>26</v>
      </c>
      <c r="R1" s="17" t="s">
        <v>26</v>
      </c>
      <c r="S1" s="17" t="s">
        <v>26</v>
      </c>
      <c r="T1" s="17" t="s">
        <v>26</v>
      </c>
      <c r="U1" s="17" t="s">
        <v>26</v>
      </c>
      <c r="V1" s="17" t="s">
        <v>26</v>
      </c>
      <c r="W1" s="17" t="s">
        <v>26</v>
      </c>
      <c r="X1" s="17" t="s">
        <v>26</v>
      </c>
      <c r="Y1" s="17" t="s">
        <v>26</v>
      </c>
    </row>
    <row r="2" spans="1:25" ht="15" thickBot="1">
      <c r="A2" s="153"/>
      <c r="B2" s="19" t="s">
        <v>41</v>
      </c>
      <c r="C2" s="19" t="s">
        <v>41</v>
      </c>
      <c r="D2" s="19" t="s">
        <v>41</v>
      </c>
      <c r="E2" s="19" t="s">
        <v>38</v>
      </c>
      <c r="F2" s="19" t="s">
        <v>38</v>
      </c>
      <c r="G2" s="19" t="s">
        <v>38</v>
      </c>
      <c r="H2" s="19" t="s">
        <v>38</v>
      </c>
      <c r="I2" s="19" t="s">
        <v>38</v>
      </c>
      <c r="J2" s="19" t="s">
        <v>38</v>
      </c>
      <c r="K2" s="19" t="s">
        <v>38</v>
      </c>
      <c r="L2" s="19" t="s">
        <v>42</v>
      </c>
      <c r="M2" s="19" t="s">
        <v>42</v>
      </c>
      <c r="N2" s="19" t="s">
        <v>42</v>
      </c>
      <c r="O2" s="19" t="s">
        <v>174</v>
      </c>
      <c r="P2" s="19" t="s">
        <v>174</v>
      </c>
      <c r="Q2" s="19" t="s">
        <v>174</v>
      </c>
      <c r="R2" s="19" t="s">
        <v>174</v>
      </c>
      <c r="S2" s="19" t="s">
        <v>38</v>
      </c>
      <c r="T2" s="19" t="s">
        <v>38</v>
      </c>
      <c r="U2" s="19" t="s">
        <v>38</v>
      </c>
      <c r="V2" s="19" t="s">
        <v>38</v>
      </c>
      <c r="W2" s="19" t="s">
        <v>38</v>
      </c>
      <c r="X2" s="19" t="s">
        <v>38</v>
      </c>
      <c r="Y2" s="19" t="s">
        <v>38</v>
      </c>
    </row>
    <row r="3" spans="1:25" ht="15.6">
      <c r="A3" s="154"/>
      <c r="B3" s="20" t="s">
        <v>17</v>
      </c>
      <c r="C3" s="20" t="s">
        <v>19</v>
      </c>
      <c r="D3" s="20" t="s">
        <v>20</v>
      </c>
      <c r="E3" s="20" t="s">
        <v>17</v>
      </c>
      <c r="F3" s="20" t="s">
        <v>19</v>
      </c>
      <c r="G3" s="20" t="s">
        <v>20</v>
      </c>
      <c r="H3" s="20" t="s">
        <v>22</v>
      </c>
      <c r="I3" s="20" t="s">
        <v>24</v>
      </c>
      <c r="J3" s="20" t="s">
        <v>297</v>
      </c>
      <c r="K3" s="20" t="s">
        <v>298</v>
      </c>
      <c r="L3" s="20" t="s">
        <v>17</v>
      </c>
      <c r="M3" s="20" t="s">
        <v>19</v>
      </c>
      <c r="N3" s="20" t="s">
        <v>20</v>
      </c>
      <c r="O3" s="20" t="s">
        <v>17</v>
      </c>
      <c r="P3" s="20" t="s">
        <v>19</v>
      </c>
      <c r="Q3" s="20" t="s">
        <v>20</v>
      </c>
      <c r="R3" s="20" t="s">
        <v>22</v>
      </c>
      <c r="S3" s="20" t="s">
        <v>17</v>
      </c>
      <c r="T3" s="20" t="s">
        <v>19</v>
      </c>
      <c r="U3" s="20" t="s">
        <v>20</v>
      </c>
      <c r="V3" s="20" t="s">
        <v>22</v>
      </c>
      <c r="W3" s="20" t="s">
        <v>24</v>
      </c>
      <c r="X3" s="20" t="s">
        <v>297</v>
      </c>
      <c r="Y3" s="20" t="s">
        <v>298</v>
      </c>
    </row>
    <row r="4" spans="1:25">
      <c r="A4" s="34">
        <v>920</v>
      </c>
      <c r="B4" s="22">
        <v>0</v>
      </c>
      <c r="C4" s="22"/>
      <c r="D4" s="22"/>
      <c r="E4" s="22">
        <v>0</v>
      </c>
      <c r="F4" s="22"/>
      <c r="G4" s="22"/>
      <c r="H4" s="22"/>
      <c r="I4" s="22"/>
      <c r="J4" s="22"/>
      <c r="K4" s="22"/>
      <c r="L4" s="22">
        <v>0</v>
      </c>
      <c r="M4" s="22"/>
      <c r="N4" s="22"/>
      <c r="O4" s="22">
        <v>0</v>
      </c>
      <c r="P4" s="22"/>
      <c r="Q4" s="22"/>
      <c r="R4" s="22"/>
      <c r="S4" s="22">
        <v>0</v>
      </c>
      <c r="T4" s="22"/>
      <c r="U4" s="22"/>
      <c r="V4" s="22"/>
      <c r="W4" s="22"/>
      <c r="X4" s="22"/>
      <c r="Y4" s="22"/>
    </row>
    <row r="5" spans="1:25">
      <c r="A5" s="34">
        <v>1000</v>
      </c>
      <c r="B5" s="22">
        <v>30</v>
      </c>
      <c r="C5" s="22">
        <v>0</v>
      </c>
      <c r="D5" s="22">
        <v>0</v>
      </c>
      <c r="E5" s="22">
        <v>30</v>
      </c>
      <c r="F5" s="22">
        <v>0</v>
      </c>
      <c r="G5" s="22">
        <v>0</v>
      </c>
      <c r="H5" s="22"/>
      <c r="I5" s="22"/>
      <c r="J5" s="22"/>
      <c r="K5" s="22"/>
      <c r="L5" s="22">
        <v>30</v>
      </c>
      <c r="M5" s="22">
        <v>0</v>
      </c>
      <c r="N5" s="22">
        <v>0</v>
      </c>
      <c r="O5" s="22">
        <v>30</v>
      </c>
      <c r="P5" s="22">
        <v>0</v>
      </c>
      <c r="Q5" s="22">
        <v>0</v>
      </c>
      <c r="R5" s="22"/>
      <c r="S5" s="22">
        <v>30</v>
      </c>
      <c r="T5" s="22">
        <v>0</v>
      </c>
      <c r="U5" s="22">
        <v>0</v>
      </c>
      <c r="V5" s="22"/>
      <c r="W5" s="22"/>
      <c r="X5" s="22"/>
      <c r="Y5" s="22"/>
    </row>
    <row r="6" spans="1:25">
      <c r="A6" s="34">
        <v>1070</v>
      </c>
      <c r="B6" s="22">
        <v>50</v>
      </c>
      <c r="C6" s="22">
        <v>0</v>
      </c>
      <c r="D6" s="22">
        <v>0</v>
      </c>
      <c r="E6" s="22">
        <v>50</v>
      </c>
      <c r="F6" s="22">
        <v>0</v>
      </c>
      <c r="G6" s="22">
        <v>0</v>
      </c>
      <c r="H6" s="22">
        <v>0</v>
      </c>
      <c r="I6" s="22"/>
      <c r="J6" s="22"/>
      <c r="K6" s="22"/>
      <c r="L6" s="22">
        <v>50</v>
      </c>
      <c r="M6" s="22">
        <v>0</v>
      </c>
      <c r="N6" s="22">
        <v>0</v>
      </c>
      <c r="O6" s="22">
        <v>50</v>
      </c>
      <c r="P6" s="22">
        <v>0</v>
      </c>
      <c r="Q6" s="22">
        <v>0</v>
      </c>
      <c r="R6" s="22">
        <v>0</v>
      </c>
      <c r="S6" s="22">
        <v>50</v>
      </c>
      <c r="T6" s="22">
        <v>0</v>
      </c>
      <c r="U6" s="22">
        <v>0</v>
      </c>
      <c r="V6" s="22">
        <v>0</v>
      </c>
      <c r="W6" s="22"/>
      <c r="X6" s="22"/>
      <c r="Y6" s="22"/>
    </row>
    <row r="7" spans="1:25">
      <c r="A7" s="34">
        <v>1100</v>
      </c>
      <c r="B7" s="22">
        <v>60</v>
      </c>
      <c r="C7" s="22">
        <v>50</v>
      </c>
      <c r="D7" s="22">
        <v>70</v>
      </c>
      <c r="E7" s="22">
        <v>60</v>
      </c>
      <c r="F7" s="22">
        <v>50</v>
      </c>
      <c r="G7" s="22">
        <v>70</v>
      </c>
      <c r="H7" s="22">
        <v>70</v>
      </c>
      <c r="I7" s="22"/>
      <c r="J7" s="22"/>
      <c r="K7" s="22"/>
      <c r="L7" s="22">
        <v>60</v>
      </c>
      <c r="M7" s="22">
        <v>50</v>
      </c>
      <c r="N7" s="22">
        <v>70</v>
      </c>
      <c r="O7" s="22">
        <v>60</v>
      </c>
      <c r="P7" s="22">
        <v>50</v>
      </c>
      <c r="Q7" s="22">
        <v>70</v>
      </c>
      <c r="R7" s="22">
        <v>70</v>
      </c>
      <c r="S7" s="22">
        <v>60</v>
      </c>
      <c r="T7" s="22">
        <v>50</v>
      </c>
      <c r="U7" s="22">
        <v>70</v>
      </c>
      <c r="V7" s="22">
        <v>70</v>
      </c>
      <c r="W7" s="22"/>
      <c r="X7" s="22"/>
      <c r="Y7" s="22"/>
    </row>
    <row r="8" spans="1:25">
      <c r="A8" s="34">
        <v>1150</v>
      </c>
      <c r="B8" s="22">
        <v>110</v>
      </c>
      <c r="C8" s="22">
        <v>50</v>
      </c>
      <c r="D8" s="22">
        <v>70</v>
      </c>
      <c r="E8" s="22">
        <v>110</v>
      </c>
      <c r="F8" s="22">
        <v>50</v>
      </c>
      <c r="G8" s="22">
        <v>70</v>
      </c>
      <c r="H8" s="22">
        <v>70</v>
      </c>
      <c r="I8" s="22"/>
      <c r="J8" s="22"/>
      <c r="K8" s="22"/>
      <c r="L8" s="22">
        <v>110</v>
      </c>
      <c r="M8" s="22">
        <v>50</v>
      </c>
      <c r="N8" s="22">
        <v>70</v>
      </c>
      <c r="O8" s="22">
        <v>110</v>
      </c>
      <c r="P8" s="22">
        <v>50</v>
      </c>
      <c r="Q8" s="22">
        <v>70</v>
      </c>
      <c r="R8" s="22">
        <v>70</v>
      </c>
      <c r="S8" s="22">
        <v>110</v>
      </c>
      <c r="T8" s="22">
        <v>50</v>
      </c>
      <c r="U8" s="22">
        <v>70</v>
      </c>
      <c r="V8" s="22">
        <v>70</v>
      </c>
      <c r="W8" s="22"/>
      <c r="X8" s="22"/>
      <c r="Y8" s="22"/>
    </row>
    <row r="9" spans="1:25">
      <c r="A9" s="34">
        <v>1200</v>
      </c>
      <c r="B9" s="22">
        <v>110</v>
      </c>
      <c r="C9" s="22">
        <v>50</v>
      </c>
      <c r="D9" s="22">
        <v>70</v>
      </c>
      <c r="E9" s="22">
        <v>110</v>
      </c>
      <c r="F9" s="22">
        <v>50</v>
      </c>
      <c r="G9" s="22">
        <v>70</v>
      </c>
      <c r="H9" s="22">
        <v>110</v>
      </c>
      <c r="I9" s="22"/>
      <c r="J9" s="22"/>
      <c r="K9" s="22"/>
      <c r="L9" s="22">
        <v>110</v>
      </c>
      <c r="M9" s="22">
        <v>50</v>
      </c>
      <c r="N9" s="22">
        <v>70</v>
      </c>
      <c r="O9" s="22">
        <v>110</v>
      </c>
      <c r="P9" s="22">
        <v>50</v>
      </c>
      <c r="Q9" s="22">
        <v>70</v>
      </c>
      <c r="R9" s="22">
        <v>110</v>
      </c>
      <c r="S9" s="22">
        <v>110</v>
      </c>
      <c r="T9" s="22">
        <v>50</v>
      </c>
      <c r="U9" s="22">
        <v>70</v>
      </c>
      <c r="V9" s="22">
        <v>110</v>
      </c>
      <c r="W9" s="22"/>
      <c r="X9" s="22"/>
      <c r="Y9" s="22"/>
    </row>
    <row r="10" spans="1:25">
      <c r="A10" s="34">
        <v>1220</v>
      </c>
      <c r="B10" s="22">
        <v>110</v>
      </c>
      <c r="C10" s="22">
        <v>50</v>
      </c>
      <c r="D10" s="22">
        <v>70</v>
      </c>
      <c r="E10" s="22">
        <v>110</v>
      </c>
      <c r="F10" s="22">
        <v>50</v>
      </c>
      <c r="G10" s="22">
        <v>70</v>
      </c>
      <c r="H10" s="22">
        <v>110</v>
      </c>
      <c r="I10" s="22">
        <v>0</v>
      </c>
      <c r="J10" s="22">
        <v>0</v>
      </c>
      <c r="K10" s="22">
        <v>0</v>
      </c>
      <c r="L10" s="22">
        <v>110</v>
      </c>
      <c r="M10" s="22">
        <v>50</v>
      </c>
      <c r="N10" s="22">
        <v>70</v>
      </c>
      <c r="O10" s="22">
        <v>110</v>
      </c>
      <c r="P10" s="22">
        <v>50</v>
      </c>
      <c r="Q10" s="22">
        <v>70</v>
      </c>
      <c r="R10" s="22">
        <v>110</v>
      </c>
      <c r="S10" s="22">
        <v>110</v>
      </c>
      <c r="T10" s="22">
        <v>50</v>
      </c>
      <c r="U10" s="22">
        <v>70</v>
      </c>
      <c r="V10" s="22">
        <v>110</v>
      </c>
      <c r="W10" s="22">
        <v>0</v>
      </c>
      <c r="X10" s="22">
        <v>0</v>
      </c>
      <c r="Y10" s="22">
        <v>0</v>
      </c>
    </row>
    <row r="11" spans="1:25">
      <c r="A11" s="34">
        <v>1370</v>
      </c>
      <c r="B11" s="22">
        <v>160</v>
      </c>
      <c r="C11" s="22">
        <v>110</v>
      </c>
      <c r="D11" s="22">
        <v>150</v>
      </c>
      <c r="E11" s="22">
        <v>160</v>
      </c>
      <c r="F11" s="22">
        <v>110</v>
      </c>
      <c r="G11" s="22">
        <v>150</v>
      </c>
      <c r="H11" s="22">
        <v>210</v>
      </c>
      <c r="I11" s="22">
        <v>120</v>
      </c>
      <c r="J11" s="22">
        <v>140</v>
      </c>
      <c r="K11" s="22">
        <v>140</v>
      </c>
      <c r="L11" s="22">
        <v>160</v>
      </c>
      <c r="M11" s="22">
        <v>110</v>
      </c>
      <c r="N11" s="22">
        <v>150</v>
      </c>
      <c r="O11" s="22">
        <v>160</v>
      </c>
      <c r="P11" s="22">
        <v>110</v>
      </c>
      <c r="Q11" s="22">
        <v>150</v>
      </c>
      <c r="R11" s="22">
        <v>210</v>
      </c>
      <c r="S11" s="22">
        <v>160</v>
      </c>
      <c r="T11" s="22">
        <v>110</v>
      </c>
      <c r="U11" s="22">
        <v>150</v>
      </c>
      <c r="V11" s="22">
        <v>210</v>
      </c>
      <c r="W11" s="22">
        <v>120</v>
      </c>
      <c r="X11" s="22">
        <v>140</v>
      </c>
      <c r="Y11" s="22">
        <v>140</v>
      </c>
    </row>
    <row r="12" spans="1:25">
      <c r="A12" s="34">
        <v>1520</v>
      </c>
      <c r="B12" s="22">
        <v>210</v>
      </c>
      <c r="C12" s="22">
        <v>160</v>
      </c>
      <c r="D12" s="22">
        <v>270</v>
      </c>
      <c r="E12" s="22">
        <v>210</v>
      </c>
      <c r="F12" s="22">
        <v>160</v>
      </c>
      <c r="G12" s="22">
        <v>270</v>
      </c>
      <c r="H12" s="22">
        <v>320</v>
      </c>
      <c r="I12" s="22">
        <v>230</v>
      </c>
      <c r="J12" s="22">
        <v>280</v>
      </c>
      <c r="K12" s="22">
        <v>280</v>
      </c>
      <c r="L12" s="22">
        <v>210</v>
      </c>
      <c r="M12" s="22">
        <v>160</v>
      </c>
      <c r="N12" s="22">
        <v>270</v>
      </c>
      <c r="O12" s="22">
        <v>210</v>
      </c>
      <c r="P12" s="22">
        <v>160</v>
      </c>
      <c r="Q12" s="22">
        <v>270</v>
      </c>
      <c r="R12" s="22">
        <v>320</v>
      </c>
      <c r="S12" s="22">
        <v>210</v>
      </c>
      <c r="T12" s="22">
        <v>160</v>
      </c>
      <c r="U12" s="22">
        <v>270</v>
      </c>
      <c r="V12" s="22">
        <v>320</v>
      </c>
      <c r="W12" s="22">
        <v>230</v>
      </c>
      <c r="X12" s="22">
        <v>280</v>
      </c>
      <c r="Y12" s="22">
        <v>280</v>
      </c>
    </row>
    <row r="13" spans="1:25">
      <c r="A13" s="34">
        <v>1670</v>
      </c>
      <c r="B13" s="22">
        <v>270</v>
      </c>
      <c r="C13" s="22">
        <v>210</v>
      </c>
      <c r="D13" s="22">
        <v>350</v>
      </c>
      <c r="E13" s="22">
        <v>270</v>
      </c>
      <c r="F13" s="22">
        <v>210</v>
      </c>
      <c r="G13" s="22">
        <v>350</v>
      </c>
      <c r="H13" s="22">
        <v>430</v>
      </c>
      <c r="I13" s="22">
        <v>350</v>
      </c>
      <c r="J13" s="22">
        <v>410</v>
      </c>
      <c r="K13" s="22">
        <v>410</v>
      </c>
      <c r="L13" s="22">
        <v>270</v>
      </c>
      <c r="M13" s="22">
        <v>210</v>
      </c>
      <c r="N13" s="22">
        <v>350</v>
      </c>
      <c r="O13" s="22">
        <v>270</v>
      </c>
      <c r="P13" s="22">
        <v>210</v>
      </c>
      <c r="Q13" s="22">
        <v>350</v>
      </c>
      <c r="R13" s="22">
        <v>430</v>
      </c>
      <c r="S13" s="22">
        <v>270</v>
      </c>
      <c r="T13" s="22">
        <v>210</v>
      </c>
      <c r="U13" s="22">
        <v>350</v>
      </c>
      <c r="V13" s="22">
        <v>430</v>
      </c>
      <c r="W13" s="22">
        <v>350</v>
      </c>
      <c r="X13" s="22">
        <v>410</v>
      </c>
      <c r="Y13" s="22">
        <v>410</v>
      </c>
    </row>
    <row r="14" spans="1:25">
      <c r="A14" s="34">
        <v>1820</v>
      </c>
      <c r="B14" s="22">
        <v>320</v>
      </c>
      <c r="C14" s="22">
        <v>270</v>
      </c>
      <c r="D14" s="22">
        <v>420</v>
      </c>
      <c r="E14" s="22">
        <v>320</v>
      </c>
      <c r="F14" s="22">
        <v>270</v>
      </c>
      <c r="G14" s="22">
        <v>420</v>
      </c>
      <c r="H14" s="22">
        <v>550</v>
      </c>
      <c r="I14" s="22">
        <v>470</v>
      </c>
      <c r="J14" s="22">
        <v>550</v>
      </c>
      <c r="K14" s="22">
        <v>550</v>
      </c>
      <c r="L14" s="22">
        <v>320</v>
      </c>
      <c r="M14" s="22">
        <v>270</v>
      </c>
      <c r="N14" s="22">
        <v>420</v>
      </c>
      <c r="O14" s="22">
        <v>320</v>
      </c>
      <c r="P14" s="22">
        <v>270</v>
      </c>
      <c r="Q14" s="22">
        <v>420</v>
      </c>
      <c r="R14" s="22">
        <v>550</v>
      </c>
      <c r="S14" s="22">
        <v>320</v>
      </c>
      <c r="T14" s="22">
        <v>270</v>
      </c>
      <c r="U14" s="22">
        <v>420</v>
      </c>
      <c r="V14" s="22">
        <v>550</v>
      </c>
      <c r="W14" s="22">
        <v>470</v>
      </c>
      <c r="X14" s="22">
        <v>550</v>
      </c>
      <c r="Y14" s="22">
        <v>550</v>
      </c>
    </row>
    <row r="15" spans="1:25">
      <c r="A15" s="34">
        <v>2000</v>
      </c>
      <c r="B15" s="22"/>
      <c r="C15" s="22">
        <v>340</v>
      </c>
      <c r="D15" s="22">
        <v>440</v>
      </c>
      <c r="E15" s="22"/>
      <c r="F15" s="22">
        <v>340</v>
      </c>
      <c r="G15" s="22">
        <v>440</v>
      </c>
      <c r="H15" s="22">
        <v>710</v>
      </c>
      <c r="I15" s="22">
        <v>700</v>
      </c>
      <c r="J15" s="22">
        <v>880</v>
      </c>
      <c r="K15" s="22">
        <v>1000</v>
      </c>
      <c r="L15" s="22"/>
      <c r="M15" s="22">
        <v>340</v>
      </c>
      <c r="N15" s="22">
        <v>440</v>
      </c>
      <c r="O15" s="22"/>
      <c r="P15" s="22">
        <v>340</v>
      </c>
      <c r="Q15" s="22">
        <v>440</v>
      </c>
      <c r="R15" s="22">
        <v>710</v>
      </c>
      <c r="S15" s="22"/>
      <c r="T15" s="22">
        <v>340</v>
      </c>
      <c r="U15" s="22">
        <v>440</v>
      </c>
      <c r="V15" s="22">
        <v>710</v>
      </c>
      <c r="W15" s="22">
        <v>700</v>
      </c>
      <c r="X15" s="22">
        <v>880</v>
      </c>
      <c r="Y15" s="22">
        <v>1000</v>
      </c>
    </row>
    <row r="16" spans="1:25">
      <c r="A16" s="34">
        <v>2120</v>
      </c>
      <c r="B16" s="22"/>
      <c r="C16" s="22">
        <v>340</v>
      </c>
      <c r="D16" s="22">
        <v>490</v>
      </c>
      <c r="E16" s="22"/>
      <c r="F16" s="22">
        <v>340</v>
      </c>
      <c r="G16" s="22">
        <v>490</v>
      </c>
      <c r="H16" s="22">
        <v>750</v>
      </c>
      <c r="I16" s="22">
        <v>700</v>
      </c>
      <c r="J16" s="22">
        <v>880</v>
      </c>
      <c r="K16" s="22">
        <v>1000</v>
      </c>
      <c r="L16" s="22"/>
      <c r="M16" s="22">
        <v>340</v>
      </c>
      <c r="N16" s="22">
        <v>490</v>
      </c>
      <c r="O16" s="22"/>
      <c r="P16" s="22">
        <v>340</v>
      </c>
      <c r="Q16" s="22">
        <v>490</v>
      </c>
      <c r="R16" s="22">
        <v>750</v>
      </c>
      <c r="S16" s="22"/>
      <c r="T16" s="22">
        <v>340</v>
      </c>
      <c r="U16" s="22">
        <v>490</v>
      </c>
      <c r="V16" s="22">
        <v>750</v>
      </c>
      <c r="W16" s="22">
        <v>700</v>
      </c>
      <c r="X16" s="22">
        <v>880</v>
      </c>
      <c r="Y16" s="22">
        <v>1000</v>
      </c>
    </row>
    <row r="17" spans="1:25">
      <c r="A17" s="34">
        <v>2270</v>
      </c>
      <c r="B17" s="22"/>
      <c r="C17" s="22">
        <v>430</v>
      </c>
      <c r="D17" s="22">
        <v>460</v>
      </c>
      <c r="E17" s="22"/>
      <c r="F17" s="22">
        <v>430</v>
      </c>
      <c r="G17" s="22">
        <v>460</v>
      </c>
      <c r="H17" s="22"/>
      <c r="I17" s="22">
        <v>840</v>
      </c>
      <c r="J17" s="22">
        <v>1030</v>
      </c>
      <c r="K17" s="22">
        <v>1170</v>
      </c>
      <c r="L17" s="22"/>
      <c r="M17" s="22">
        <v>430</v>
      </c>
      <c r="N17" s="22">
        <v>460</v>
      </c>
      <c r="O17" s="22"/>
      <c r="P17" s="22">
        <v>430</v>
      </c>
      <c r="Q17" s="22">
        <v>460</v>
      </c>
      <c r="R17" s="22"/>
      <c r="S17" s="22"/>
      <c r="T17" s="22">
        <v>430</v>
      </c>
      <c r="U17" s="22">
        <v>460</v>
      </c>
      <c r="V17" s="22"/>
      <c r="W17" s="22">
        <v>840</v>
      </c>
      <c r="X17" s="22">
        <v>1030</v>
      </c>
      <c r="Y17" s="22">
        <v>1170</v>
      </c>
    </row>
    <row r="18" spans="1:25">
      <c r="A18" s="34">
        <v>2400</v>
      </c>
      <c r="B18" s="22"/>
      <c r="C18" s="22"/>
      <c r="D18" s="22"/>
      <c r="E18" s="22"/>
      <c r="F18" s="22"/>
      <c r="G18" s="22"/>
      <c r="H18" s="22">
        <v>950</v>
      </c>
      <c r="I18" s="22">
        <v>970</v>
      </c>
      <c r="J18" s="22">
        <v>1180</v>
      </c>
      <c r="K18" s="22">
        <v>1310</v>
      </c>
      <c r="L18" s="22"/>
      <c r="M18" s="22"/>
      <c r="N18" s="22"/>
      <c r="O18" s="22"/>
      <c r="P18" s="22"/>
      <c r="Q18" s="22"/>
      <c r="R18" s="22">
        <v>950</v>
      </c>
      <c r="S18" s="22"/>
      <c r="T18" s="22"/>
      <c r="U18" s="22"/>
      <c r="V18" s="22">
        <v>950</v>
      </c>
      <c r="W18" s="22">
        <v>970</v>
      </c>
      <c r="X18" s="22">
        <v>1180</v>
      </c>
      <c r="Y18" s="22">
        <v>1310</v>
      </c>
    </row>
    <row r="19" spans="1:25">
      <c r="A19" s="34">
        <v>2500</v>
      </c>
      <c r="B19" s="22"/>
      <c r="C19" s="22"/>
      <c r="D19" s="22"/>
      <c r="E19" s="22"/>
      <c r="F19" s="22"/>
      <c r="G19" s="22"/>
      <c r="H19" s="22"/>
      <c r="I19" s="22">
        <v>1090</v>
      </c>
      <c r="J19" s="22">
        <v>1330</v>
      </c>
      <c r="K19" s="22">
        <v>1500</v>
      </c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>
        <v>1090</v>
      </c>
      <c r="X19" s="22">
        <v>1330</v>
      </c>
      <c r="Y19" s="22">
        <v>1500</v>
      </c>
    </row>
    <row r="20" spans="1:25">
      <c r="A20" s="34">
        <v>2600</v>
      </c>
      <c r="B20" s="22"/>
      <c r="C20" s="22"/>
      <c r="D20" s="22"/>
      <c r="E20" s="22"/>
      <c r="F20" s="22"/>
      <c r="G20" s="22"/>
      <c r="H20" s="22"/>
      <c r="I20" s="22">
        <v>1210</v>
      </c>
      <c r="J20" s="22">
        <v>1480</v>
      </c>
      <c r="K20" s="22">
        <v>1680</v>
      </c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>
        <v>1210</v>
      </c>
      <c r="X20" s="22">
        <v>1480</v>
      </c>
      <c r="Y20" s="22">
        <v>1680</v>
      </c>
    </row>
    <row r="21" spans="1:25">
      <c r="A21" s="34">
        <v>2700</v>
      </c>
      <c r="B21" s="22"/>
      <c r="C21" s="22"/>
      <c r="D21" s="22"/>
      <c r="E21" s="22"/>
      <c r="F21" s="22"/>
      <c r="G21" s="22"/>
      <c r="H21" s="22"/>
      <c r="I21" s="22">
        <v>1210</v>
      </c>
      <c r="J21" s="22">
        <v>1480</v>
      </c>
      <c r="K21" s="22">
        <v>1680</v>
      </c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>
        <v>1210</v>
      </c>
      <c r="X21" s="22">
        <v>1480</v>
      </c>
      <c r="Y21" s="22">
        <v>1680</v>
      </c>
    </row>
    <row r="22" spans="1:25">
      <c r="A22" s="34">
        <v>3000</v>
      </c>
      <c r="B22" s="22"/>
      <c r="C22" s="22"/>
      <c r="D22" s="22"/>
      <c r="E22" s="22"/>
      <c r="F22" s="22"/>
      <c r="G22" s="22"/>
      <c r="H22" s="22"/>
      <c r="I22" s="22">
        <v>1450</v>
      </c>
      <c r="J22" s="22">
        <v>1780</v>
      </c>
      <c r="K22" s="22">
        <v>2020</v>
      </c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>
        <v>1450</v>
      </c>
      <c r="X22" s="22">
        <v>1780</v>
      </c>
      <c r="Y22" s="22">
        <v>2020</v>
      </c>
    </row>
  </sheetData>
  <mergeCells count="1">
    <mergeCell ref="A1:A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1CEA4-B783-4FA4-BD12-C29082DCC9DF}">
  <sheetPr codeName="Arkusz10"/>
  <dimension ref="A1:AC35"/>
  <sheetViews>
    <sheetView topLeftCell="Q1" workbookViewId="0">
      <selection activeCell="A34" sqref="A34"/>
    </sheetView>
  </sheetViews>
  <sheetFormatPr defaultRowHeight="14.4"/>
  <cols>
    <col min="1" max="1" width="30" bestFit="1" customWidth="1"/>
    <col min="2" max="11" width="14.88671875" bestFit="1" customWidth="1"/>
    <col min="12" max="29" width="16" bestFit="1" customWidth="1"/>
  </cols>
  <sheetData>
    <row r="1" spans="1:29" ht="15" thickBot="1">
      <c r="A1" s="153" t="s">
        <v>355</v>
      </c>
      <c r="B1" s="18" t="s">
        <v>16</v>
      </c>
      <c r="C1" s="18" t="s">
        <v>16</v>
      </c>
      <c r="D1" s="18" t="s">
        <v>16</v>
      </c>
      <c r="E1" s="18" t="s">
        <v>16</v>
      </c>
      <c r="F1" s="18" t="s">
        <v>16</v>
      </c>
      <c r="G1" s="18" t="s">
        <v>16</v>
      </c>
      <c r="H1" s="18" t="s">
        <v>16</v>
      </c>
      <c r="I1" s="18" t="s">
        <v>16</v>
      </c>
      <c r="J1" s="18" t="s">
        <v>16</v>
      </c>
      <c r="K1" s="18" t="s">
        <v>16</v>
      </c>
      <c r="L1" s="17" t="s">
        <v>26</v>
      </c>
      <c r="M1" s="17" t="s">
        <v>26</v>
      </c>
      <c r="N1" s="17" t="s">
        <v>26</v>
      </c>
      <c r="O1" s="17" t="s">
        <v>26</v>
      </c>
      <c r="P1" s="17" t="s">
        <v>26</v>
      </c>
      <c r="Q1" s="17" t="s">
        <v>26</v>
      </c>
      <c r="R1" s="17" t="s">
        <v>26</v>
      </c>
      <c r="S1" s="17" t="s">
        <v>26</v>
      </c>
      <c r="T1" s="17" t="s">
        <v>26</v>
      </c>
      <c r="U1" s="17" t="s">
        <v>26</v>
      </c>
      <c r="V1" s="17" t="s">
        <v>26</v>
      </c>
      <c r="W1" s="17" t="s">
        <v>26</v>
      </c>
      <c r="X1" s="17" t="s">
        <v>26</v>
      </c>
      <c r="Y1" s="17" t="s">
        <v>26</v>
      </c>
      <c r="Z1" s="17" t="s">
        <v>26</v>
      </c>
      <c r="AA1" s="17" t="s">
        <v>26</v>
      </c>
      <c r="AB1" s="17" t="s">
        <v>26</v>
      </c>
      <c r="AC1" s="17" t="s">
        <v>26</v>
      </c>
    </row>
    <row r="2" spans="1:29" ht="15" thickBot="1">
      <c r="A2" s="153"/>
      <c r="B2" s="19" t="s">
        <v>41</v>
      </c>
      <c r="C2" s="19" t="s">
        <v>41</v>
      </c>
      <c r="D2" s="19" t="s">
        <v>41</v>
      </c>
      <c r="E2" s="19" t="s">
        <v>38</v>
      </c>
      <c r="F2" s="19" t="s">
        <v>38</v>
      </c>
      <c r="G2" s="19" t="s">
        <v>38</v>
      </c>
      <c r="H2" s="19" t="s">
        <v>38</v>
      </c>
      <c r="I2" s="19" t="s">
        <v>38</v>
      </c>
      <c r="J2" s="19" t="s">
        <v>38</v>
      </c>
      <c r="K2" s="19" t="s">
        <v>38</v>
      </c>
      <c r="L2" s="19" t="s">
        <v>42</v>
      </c>
      <c r="M2" s="19" t="s">
        <v>42</v>
      </c>
      <c r="N2" s="19" t="s">
        <v>42</v>
      </c>
      <c r="O2" s="19" t="s">
        <v>174</v>
      </c>
      <c r="P2" s="19" t="s">
        <v>174</v>
      </c>
      <c r="Q2" s="19" t="s">
        <v>174</v>
      </c>
      <c r="R2" s="19" t="s">
        <v>174</v>
      </c>
      <c r="S2" s="19" t="s">
        <v>38</v>
      </c>
      <c r="T2" s="19" t="s">
        <v>38</v>
      </c>
      <c r="U2" s="19" t="s">
        <v>38</v>
      </c>
      <c r="V2" s="19" t="s">
        <v>38</v>
      </c>
      <c r="W2" s="19" t="s">
        <v>38</v>
      </c>
      <c r="X2" s="19" t="s">
        <v>38</v>
      </c>
      <c r="Y2" s="19" t="s">
        <v>38</v>
      </c>
      <c r="Z2" s="19"/>
      <c r="AA2" s="19"/>
      <c r="AB2" s="19"/>
      <c r="AC2" s="19"/>
    </row>
    <row r="3" spans="1:29" ht="15.6">
      <c r="A3" s="154"/>
      <c r="B3" s="20" t="s">
        <v>17</v>
      </c>
      <c r="C3" s="20" t="s">
        <v>19</v>
      </c>
      <c r="D3" s="20" t="s">
        <v>20</v>
      </c>
      <c r="E3" s="20" t="s">
        <v>17</v>
      </c>
      <c r="F3" s="20" t="s">
        <v>19</v>
      </c>
      <c r="G3" s="20" t="s">
        <v>20</v>
      </c>
      <c r="H3" s="20" t="s">
        <v>22</v>
      </c>
      <c r="I3" s="20" t="s">
        <v>24</v>
      </c>
      <c r="J3" s="20" t="s">
        <v>297</v>
      </c>
      <c r="K3" s="20" t="s">
        <v>298</v>
      </c>
      <c r="L3" s="20" t="s">
        <v>17</v>
      </c>
      <c r="M3" s="20" t="s">
        <v>19</v>
      </c>
      <c r="N3" s="20" t="s">
        <v>20</v>
      </c>
      <c r="O3" s="20" t="s">
        <v>17</v>
      </c>
      <c r="P3" s="20" t="s">
        <v>19</v>
      </c>
      <c r="Q3" s="20" t="s">
        <v>20</v>
      </c>
      <c r="R3" s="20" t="s">
        <v>22</v>
      </c>
      <c r="S3" s="20" t="s">
        <v>17</v>
      </c>
      <c r="T3" s="20" t="s">
        <v>19</v>
      </c>
      <c r="U3" s="20" t="s">
        <v>20</v>
      </c>
      <c r="V3" s="20" t="s">
        <v>22</v>
      </c>
      <c r="W3" s="20" t="s">
        <v>24</v>
      </c>
      <c r="X3" s="20" t="s">
        <v>297</v>
      </c>
      <c r="Y3" s="20" t="s">
        <v>298</v>
      </c>
      <c r="Z3" s="28" t="s">
        <v>389</v>
      </c>
      <c r="AA3" s="28" t="s">
        <v>390</v>
      </c>
      <c r="AB3" s="20" t="s">
        <v>353</v>
      </c>
      <c r="AC3" s="20" t="s">
        <v>354</v>
      </c>
    </row>
    <row r="4" spans="1:29">
      <c r="A4" t="s">
        <v>356</v>
      </c>
      <c r="L4">
        <v>0</v>
      </c>
      <c r="O4">
        <v>0</v>
      </c>
      <c r="Z4">
        <v>0</v>
      </c>
    </row>
    <row r="5" spans="1:29">
      <c r="A5" t="s">
        <v>357</v>
      </c>
      <c r="L5">
        <v>490</v>
      </c>
      <c r="M5">
        <v>0</v>
      </c>
      <c r="O5">
        <v>490</v>
      </c>
      <c r="P5">
        <v>0</v>
      </c>
      <c r="AA5">
        <v>0</v>
      </c>
    </row>
    <row r="6" spans="1:29">
      <c r="A6" t="s">
        <v>358</v>
      </c>
      <c r="L6">
        <v>930</v>
      </c>
      <c r="M6">
        <v>450</v>
      </c>
      <c r="N6">
        <v>0</v>
      </c>
    </row>
    <row r="7" spans="1:29">
      <c r="A7" t="s">
        <v>359</v>
      </c>
      <c r="L7">
        <v>1210</v>
      </c>
      <c r="M7">
        <v>720</v>
      </c>
      <c r="N7">
        <v>270</v>
      </c>
      <c r="O7">
        <v>1210</v>
      </c>
      <c r="P7">
        <v>720</v>
      </c>
      <c r="Q7">
        <v>0</v>
      </c>
      <c r="AA7">
        <v>720</v>
      </c>
      <c r="AB7">
        <v>720</v>
      </c>
      <c r="AC7">
        <v>720</v>
      </c>
    </row>
    <row r="8" spans="1:29">
      <c r="A8" t="s">
        <v>360</v>
      </c>
      <c r="M8">
        <v>1890</v>
      </c>
      <c r="N8">
        <v>1440</v>
      </c>
      <c r="P8">
        <v>1890</v>
      </c>
      <c r="Q8">
        <v>1170</v>
      </c>
    </row>
    <row r="9" spans="1:29">
      <c r="A9" t="s">
        <v>361</v>
      </c>
      <c r="N9">
        <v>2900</v>
      </c>
      <c r="Q9">
        <v>2610</v>
      </c>
    </row>
    <row r="10" spans="1:29">
      <c r="A10" t="s">
        <v>362</v>
      </c>
      <c r="L10">
        <v>450</v>
      </c>
      <c r="O10">
        <v>450</v>
      </c>
      <c r="Z10">
        <v>450</v>
      </c>
    </row>
    <row r="11" spans="1:29">
      <c r="A11" t="s">
        <v>363</v>
      </c>
      <c r="L11">
        <v>720</v>
      </c>
    </row>
    <row r="12" spans="1:29">
      <c r="A12" t="s">
        <v>364</v>
      </c>
      <c r="L12">
        <v>910</v>
      </c>
      <c r="M12">
        <v>430</v>
      </c>
      <c r="O12">
        <v>910</v>
      </c>
      <c r="P12">
        <v>430</v>
      </c>
      <c r="Z12">
        <v>910</v>
      </c>
    </row>
    <row r="13" spans="1:29">
      <c r="A13" t="s">
        <v>365</v>
      </c>
      <c r="L13">
        <v>1650</v>
      </c>
      <c r="M13">
        <v>1170</v>
      </c>
      <c r="N13">
        <v>720</v>
      </c>
      <c r="O13">
        <v>1650</v>
      </c>
      <c r="P13">
        <v>1170</v>
      </c>
      <c r="Q13">
        <v>450</v>
      </c>
      <c r="AB13">
        <v>1170</v>
      </c>
      <c r="AC13">
        <v>1170</v>
      </c>
    </row>
    <row r="14" spans="1:29">
      <c r="A14" t="s">
        <v>366</v>
      </c>
      <c r="M14">
        <v>1610</v>
      </c>
      <c r="N14">
        <v>1170</v>
      </c>
      <c r="P14">
        <v>1610</v>
      </c>
      <c r="Q14">
        <v>890</v>
      </c>
    </row>
    <row r="15" spans="1:29">
      <c r="A15" t="s">
        <v>367</v>
      </c>
      <c r="M15">
        <v>2720</v>
      </c>
      <c r="N15">
        <v>2280</v>
      </c>
      <c r="P15">
        <v>2720</v>
      </c>
      <c r="Q15">
        <v>2000</v>
      </c>
    </row>
    <row r="16" spans="1:29">
      <c r="A16" t="s">
        <v>368</v>
      </c>
      <c r="N16">
        <v>3770</v>
      </c>
      <c r="Q16">
        <v>3500</v>
      </c>
    </row>
    <row r="17" spans="1:25">
      <c r="A17" t="s">
        <v>369</v>
      </c>
      <c r="O17">
        <v>0</v>
      </c>
      <c r="S17">
        <v>0</v>
      </c>
    </row>
    <row r="18" spans="1:25">
      <c r="A18" t="s">
        <v>370</v>
      </c>
      <c r="O18">
        <v>720</v>
      </c>
      <c r="P18">
        <v>0</v>
      </c>
      <c r="S18">
        <v>720</v>
      </c>
      <c r="T18">
        <v>0</v>
      </c>
    </row>
    <row r="19" spans="1:25">
      <c r="A19" t="s">
        <v>371</v>
      </c>
      <c r="P19">
        <v>1170</v>
      </c>
      <c r="Q19">
        <v>0</v>
      </c>
      <c r="T19">
        <v>1170</v>
      </c>
      <c r="U19">
        <v>0</v>
      </c>
    </row>
    <row r="20" spans="1:25">
      <c r="A20" t="s">
        <v>372</v>
      </c>
      <c r="Q20">
        <v>1460</v>
      </c>
      <c r="T20">
        <v>2610</v>
      </c>
      <c r="U20">
        <v>1460</v>
      </c>
    </row>
    <row r="21" spans="1:25">
      <c r="A21" t="s">
        <v>373</v>
      </c>
      <c r="T21">
        <v>3030</v>
      </c>
      <c r="U21">
        <v>1890</v>
      </c>
      <c r="V21">
        <v>0</v>
      </c>
      <c r="W21">
        <v>0</v>
      </c>
    </row>
    <row r="22" spans="1:25">
      <c r="A22" t="s">
        <v>381</v>
      </c>
      <c r="W22">
        <v>1890</v>
      </c>
      <c r="X22">
        <v>0</v>
      </c>
      <c r="Y22">
        <v>0</v>
      </c>
    </row>
    <row r="23" spans="1:25">
      <c r="A23" t="s">
        <v>382</v>
      </c>
      <c r="W23">
        <v>4800</v>
      </c>
      <c r="X23">
        <v>2920</v>
      </c>
      <c r="Y23">
        <v>2920</v>
      </c>
    </row>
    <row r="24" spans="1:25">
      <c r="A24" t="s">
        <v>383</v>
      </c>
      <c r="W24">
        <v>5660</v>
      </c>
      <c r="X24">
        <v>3770</v>
      </c>
      <c r="Y24">
        <v>3770</v>
      </c>
    </row>
    <row r="25" spans="1:25">
      <c r="A25" t="s">
        <v>374</v>
      </c>
      <c r="O25">
        <v>430</v>
      </c>
      <c r="S25">
        <v>430</v>
      </c>
    </row>
    <row r="26" spans="1:25">
      <c r="A26" t="s">
        <v>375</v>
      </c>
      <c r="O26">
        <v>1170</v>
      </c>
      <c r="P26">
        <v>450</v>
      </c>
      <c r="S26">
        <v>1170</v>
      </c>
      <c r="T26">
        <v>450</v>
      </c>
    </row>
    <row r="27" spans="1:25">
      <c r="A27" t="s">
        <v>376</v>
      </c>
      <c r="P27">
        <v>890</v>
      </c>
      <c r="Q27">
        <v>-220</v>
      </c>
    </row>
    <row r="28" spans="1:25">
      <c r="A28" t="s">
        <v>377</v>
      </c>
      <c r="P28">
        <v>2000</v>
      </c>
      <c r="Q28">
        <v>840</v>
      </c>
      <c r="T28">
        <v>2000</v>
      </c>
      <c r="U28">
        <v>840</v>
      </c>
    </row>
    <row r="29" spans="1:25">
      <c r="A29" t="s">
        <v>378</v>
      </c>
      <c r="Q29">
        <v>2330</v>
      </c>
      <c r="T29">
        <v>3500</v>
      </c>
      <c r="U29">
        <v>2330</v>
      </c>
      <c r="V29">
        <v>450</v>
      </c>
      <c r="W29">
        <v>450</v>
      </c>
    </row>
    <row r="30" spans="1:25">
      <c r="A30" t="s">
        <v>379</v>
      </c>
      <c r="V30">
        <v>1460</v>
      </c>
      <c r="W30">
        <v>1260</v>
      </c>
    </row>
    <row r="31" spans="1:25">
      <c r="A31" t="s">
        <v>380</v>
      </c>
      <c r="V31">
        <v>2120</v>
      </c>
    </row>
    <row r="32" spans="1:25">
      <c r="A32" t="s">
        <v>384</v>
      </c>
      <c r="V32">
        <v>2120</v>
      </c>
      <c r="W32">
        <v>3500</v>
      </c>
      <c r="X32">
        <v>1610</v>
      </c>
      <c r="Y32">
        <v>1610</v>
      </c>
    </row>
    <row r="33" spans="1:18">
      <c r="A33" t="s">
        <v>385</v>
      </c>
      <c r="R33">
        <v>0</v>
      </c>
    </row>
    <row r="34" spans="1:18">
      <c r="A34" t="s">
        <v>386</v>
      </c>
      <c r="R34">
        <v>890</v>
      </c>
    </row>
    <row r="35" spans="1:18">
      <c r="A35" t="s">
        <v>387</v>
      </c>
      <c r="R35">
        <v>2080</v>
      </c>
    </row>
  </sheetData>
  <mergeCells count="1">
    <mergeCell ref="A1:A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6539E-5AEB-4153-A6A4-DFFFCEB221A4}">
  <sheetPr codeName="Arkusz11"/>
  <dimension ref="A1:AC6"/>
  <sheetViews>
    <sheetView topLeftCell="Q1" workbookViewId="0">
      <selection activeCell="A34" sqref="A34"/>
    </sheetView>
  </sheetViews>
  <sheetFormatPr defaultRowHeight="14.4"/>
  <cols>
    <col min="1" max="1" width="14.6640625" bestFit="1" customWidth="1"/>
    <col min="2" max="11" width="14.88671875" bestFit="1" customWidth="1"/>
    <col min="12" max="29" width="16" bestFit="1" customWidth="1"/>
  </cols>
  <sheetData>
    <row r="1" spans="1:29" ht="15" thickBot="1">
      <c r="A1" s="153" t="s">
        <v>391</v>
      </c>
      <c r="B1" s="18" t="s">
        <v>16</v>
      </c>
      <c r="C1" s="18" t="s">
        <v>16</v>
      </c>
      <c r="D1" s="18" t="s">
        <v>16</v>
      </c>
      <c r="E1" s="18" t="s">
        <v>16</v>
      </c>
      <c r="F1" s="18" t="s">
        <v>16</v>
      </c>
      <c r="G1" s="18" t="s">
        <v>16</v>
      </c>
      <c r="H1" s="18" t="s">
        <v>16</v>
      </c>
      <c r="I1" s="18" t="s">
        <v>16</v>
      </c>
      <c r="J1" s="18" t="s">
        <v>16</v>
      </c>
      <c r="K1" s="18" t="s">
        <v>16</v>
      </c>
      <c r="L1" s="17" t="s">
        <v>26</v>
      </c>
      <c r="M1" s="17" t="s">
        <v>26</v>
      </c>
      <c r="N1" s="17" t="s">
        <v>26</v>
      </c>
      <c r="O1" s="17" t="s">
        <v>26</v>
      </c>
      <c r="P1" s="17" t="s">
        <v>26</v>
      </c>
      <c r="Q1" s="17" t="s">
        <v>26</v>
      </c>
      <c r="R1" s="17" t="s">
        <v>26</v>
      </c>
      <c r="S1" s="17" t="s">
        <v>26</v>
      </c>
      <c r="T1" s="17" t="s">
        <v>26</v>
      </c>
      <c r="U1" s="17" t="s">
        <v>26</v>
      </c>
      <c r="V1" s="17" t="s">
        <v>26</v>
      </c>
      <c r="W1" s="17" t="s">
        <v>26</v>
      </c>
      <c r="X1" s="17" t="s">
        <v>26</v>
      </c>
      <c r="Y1" s="17" t="s">
        <v>26</v>
      </c>
      <c r="Z1" s="17" t="s">
        <v>26</v>
      </c>
      <c r="AA1" s="17" t="s">
        <v>26</v>
      </c>
      <c r="AB1" s="17" t="s">
        <v>26</v>
      </c>
      <c r="AC1" s="17" t="s">
        <v>26</v>
      </c>
    </row>
    <row r="2" spans="1:29" ht="15" thickBot="1">
      <c r="A2" s="153"/>
      <c r="B2" s="19" t="s">
        <v>41</v>
      </c>
      <c r="C2" s="19" t="s">
        <v>41</v>
      </c>
      <c r="D2" s="19" t="s">
        <v>41</v>
      </c>
      <c r="E2" s="19" t="s">
        <v>38</v>
      </c>
      <c r="F2" s="19" t="s">
        <v>38</v>
      </c>
      <c r="G2" s="19" t="s">
        <v>38</v>
      </c>
      <c r="H2" s="19" t="s">
        <v>38</v>
      </c>
      <c r="I2" s="19" t="s">
        <v>38</v>
      </c>
      <c r="J2" s="19" t="s">
        <v>38</v>
      </c>
      <c r="K2" s="19" t="s">
        <v>38</v>
      </c>
      <c r="L2" s="19" t="s">
        <v>42</v>
      </c>
      <c r="M2" s="19" t="s">
        <v>42</v>
      </c>
      <c r="N2" s="19" t="s">
        <v>42</v>
      </c>
      <c r="O2" s="19" t="s">
        <v>174</v>
      </c>
      <c r="P2" s="19" t="s">
        <v>174</v>
      </c>
      <c r="Q2" s="19" t="s">
        <v>174</v>
      </c>
      <c r="R2" s="19" t="s">
        <v>174</v>
      </c>
      <c r="S2" s="19" t="s">
        <v>38</v>
      </c>
      <c r="T2" s="19" t="s">
        <v>38</v>
      </c>
      <c r="U2" s="19" t="s">
        <v>38</v>
      </c>
      <c r="V2" s="19" t="s">
        <v>38</v>
      </c>
      <c r="W2" s="19" t="s">
        <v>38</v>
      </c>
      <c r="X2" s="19" t="s">
        <v>38</v>
      </c>
      <c r="Y2" s="19" t="s">
        <v>38</v>
      </c>
      <c r="Z2" s="19"/>
      <c r="AA2" s="19"/>
      <c r="AB2" s="19"/>
      <c r="AC2" s="19"/>
    </row>
    <row r="3" spans="1:29" ht="15.6">
      <c r="A3" s="154"/>
      <c r="B3" s="20" t="s">
        <v>17</v>
      </c>
      <c r="C3" s="20" t="s">
        <v>19</v>
      </c>
      <c r="D3" s="20" t="s">
        <v>20</v>
      </c>
      <c r="E3" s="20" t="s">
        <v>17</v>
      </c>
      <c r="F3" s="20" t="s">
        <v>19</v>
      </c>
      <c r="G3" s="20" t="s">
        <v>20</v>
      </c>
      <c r="H3" s="20" t="s">
        <v>22</v>
      </c>
      <c r="I3" s="20" t="s">
        <v>24</v>
      </c>
      <c r="J3" s="20" t="s">
        <v>297</v>
      </c>
      <c r="K3" s="20" t="s">
        <v>298</v>
      </c>
      <c r="L3" s="20" t="s">
        <v>17</v>
      </c>
      <c r="M3" s="20" t="s">
        <v>19</v>
      </c>
      <c r="N3" s="20" t="s">
        <v>20</v>
      </c>
      <c r="O3" s="20" t="s">
        <v>17</v>
      </c>
      <c r="P3" s="20" t="s">
        <v>19</v>
      </c>
      <c r="Q3" s="20" t="s">
        <v>20</v>
      </c>
      <c r="R3" s="20" t="s">
        <v>22</v>
      </c>
      <c r="S3" s="20" t="s">
        <v>17</v>
      </c>
      <c r="T3" s="20" t="s">
        <v>19</v>
      </c>
      <c r="U3" s="20" t="s">
        <v>20</v>
      </c>
      <c r="V3" s="20" t="s">
        <v>22</v>
      </c>
      <c r="W3" s="20" t="s">
        <v>24</v>
      </c>
      <c r="X3" s="20" t="s">
        <v>297</v>
      </c>
      <c r="Y3" s="20" t="s">
        <v>298</v>
      </c>
      <c r="Z3" s="28" t="s">
        <v>389</v>
      </c>
      <c r="AA3" s="28" t="s">
        <v>390</v>
      </c>
      <c r="AB3" s="20" t="s">
        <v>353</v>
      </c>
      <c r="AC3" s="20" t="s">
        <v>354</v>
      </c>
    </row>
    <row r="4" spans="1:29">
      <c r="A4" t="s">
        <v>392</v>
      </c>
      <c r="L4">
        <v>410</v>
      </c>
      <c r="M4">
        <v>410</v>
      </c>
      <c r="N4">
        <v>410</v>
      </c>
      <c r="O4">
        <v>410</v>
      </c>
      <c r="P4">
        <v>410</v>
      </c>
      <c r="Q4">
        <v>410</v>
      </c>
    </row>
    <row r="5" spans="1:29">
      <c r="A5" t="s">
        <v>393</v>
      </c>
      <c r="L5">
        <v>960</v>
      </c>
      <c r="M5">
        <v>960</v>
      </c>
      <c r="N5">
        <v>960</v>
      </c>
    </row>
    <row r="6" spans="1:29">
      <c r="A6" t="s">
        <v>394</v>
      </c>
      <c r="O6">
        <v>1390</v>
      </c>
      <c r="P6">
        <v>1390</v>
      </c>
      <c r="Q6">
        <v>1390</v>
      </c>
      <c r="R6">
        <v>1690</v>
      </c>
      <c r="S6">
        <v>1390</v>
      </c>
      <c r="T6">
        <v>1390</v>
      </c>
      <c r="U6">
        <v>1390</v>
      </c>
      <c r="V6">
        <v>1390</v>
      </c>
      <c r="W6">
        <v>1390</v>
      </c>
      <c r="X6">
        <v>1390</v>
      </c>
      <c r="Y6">
        <v>1390</v>
      </c>
      <c r="Z6">
        <v>1390</v>
      </c>
      <c r="AA6">
        <v>1390</v>
      </c>
      <c r="AB6">
        <v>1390</v>
      </c>
      <c r="AC6">
        <v>1390</v>
      </c>
    </row>
  </sheetData>
  <mergeCells count="1">
    <mergeCell ref="A1:A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B3DBF-E126-4084-925E-0927FFB9D58C}">
  <sheetPr codeName="Arkusz12"/>
  <dimension ref="A1:AE22"/>
  <sheetViews>
    <sheetView zoomScaleNormal="100" workbookViewId="0">
      <selection activeCell="R16" sqref="R16"/>
    </sheetView>
  </sheetViews>
  <sheetFormatPr defaultRowHeight="14.4"/>
  <cols>
    <col min="1" max="1" width="20.21875" style="35" bestFit="1" customWidth="1"/>
    <col min="2" max="9" width="15.33203125" style="35" bestFit="1" customWidth="1"/>
    <col min="10" max="10" width="15.33203125" style="35" customWidth="1"/>
    <col min="11" max="11" width="15.33203125" style="35" bestFit="1" customWidth="1"/>
    <col min="12" max="12" width="15.33203125" style="35" customWidth="1"/>
    <col min="13" max="13" width="15.33203125" style="35" bestFit="1" customWidth="1"/>
    <col min="14" max="14" width="15.33203125" style="35" customWidth="1"/>
    <col min="15" max="15" width="16.33203125" style="35" bestFit="1" customWidth="1"/>
    <col min="16" max="16" width="16.33203125" style="35" customWidth="1"/>
    <col min="17" max="23" width="16.33203125" style="35" bestFit="1" customWidth="1"/>
    <col min="24" max="25" width="16.33203125" style="35" customWidth="1"/>
    <col min="26" max="31" width="16.33203125" style="35" bestFit="1" customWidth="1"/>
    <col min="32" max="16384" width="8.88671875" style="35"/>
  </cols>
  <sheetData>
    <row r="1" spans="1:31">
      <c r="B1" s="54"/>
    </row>
    <row r="2" spans="1:31">
      <c r="B2" s="91"/>
    </row>
    <row r="6" spans="1:31" ht="15.6">
      <c r="A6" s="158" t="s">
        <v>429</v>
      </c>
      <c r="B6" s="51" t="s">
        <v>17</v>
      </c>
      <c r="C6" s="51" t="s">
        <v>19</v>
      </c>
      <c r="D6" s="51" t="s">
        <v>20</v>
      </c>
      <c r="E6" s="51" t="s">
        <v>22</v>
      </c>
      <c r="F6" s="51" t="s">
        <v>24</v>
      </c>
      <c r="G6" s="51" t="s">
        <v>297</v>
      </c>
      <c r="H6" s="51" t="s">
        <v>298</v>
      </c>
    </row>
    <row r="7" spans="1:31">
      <c r="A7" s="159"/>
      <c r="B7" s="57">
        <v>4300</v>
      </c>
      <c r="C7" s="57">
        <v>4300</v>
      </c>
      <c r="D7" s="57">
        <v>4300</v>
      </c>
      <c r="E7" s="57">
        <v>5300</v>
      </c>
      <c r="F7" s="57">
        <v>8000</v>
      </c>
      <c r="G7" s="57">
        <v>10000</v>
      </c>
      <c r="H7" s="57">
        <v>10000</v>
      </c>
    </row>
    <row r="10" spans="1:31" ht="14.4" customHeight="1">
      <c r="A10" s="155" t="s">
        <v>422</v>
      </c>
      <c r="B10" s="49" t="s">
        <v>16</v>
      </c>
      <c r="C10" s="49" t="s">
        <v>16</v>
      </c>
      <c r="D10" s="49" t="s">
        <v>16</v>
      </c>
      <c r="E10" s="49" t="s">
        <v>16</v>
      </c>
      <c r="F10" s="49" t="s">
        <v>16</v>
      </c>
      <c r="G10" s="49" t="s">
        <v>16</v>
      </c>
      <c r="H10" s="49" t="s">
        <v>16</v>
      </c>
      <c r="I10" s="49" t="s">
        <v>16</v>
      </c>
      <c r="J10" s="49" t="s">
        <v>16</v>
      </c>
      <c r="K10" s="49" t="s">
        <v>16</v>
      </c>
      <c r="L10" s="49" t="s">
        <v>16</v>
      </c>
      <c r="M10" s="49" t="s">
        <v>16</v>
      </c>
      <c r="N10" s="49" t="s">
        <v>16</v>
      </c>
      <c r="O10" s="49" t="s">
        <v>26</v>
      </c>
      <c r="P10" s="49" t="s">
        <v>26</v>
      </c>
      <c r="Q10" s="49" t="s">
        <v>26</v>
      </c>
      <c r="R10" s="49" t="s">
        <v>26</v>
      </c>
      <c r="S10" s="49" t="s">
        <v>26</v>
      </c>
      <c r="T10" s="49" t="s">
        <v>26</v>
      </c>
      <c r="U10" s="49" t="s">
        <v>26</v>
      </c>
      <c r="V10" s="49" t="s">
        <v>26</v>
      </c>
      <c r="W10" s="49" t="s">
        <v>26</v>
      </c>
      <c r="X10" s="49" t="s">
        <v>26</v>
      </c>
      <c r="Y10" s="49" t="s">
        <v>26</v>
      </c>
      <c r="Z10" s="49" t="s">
        <v>26</v>
      </c>
      <c r="AA10" s="49" t="s">
        <v>26</v>
      </c>
      <c r="AB10" s="49" t="s">
        <v>26</v>
      </c>
      <c r="AC10" s="49" t="s">
        <v>26</v>
      </c>
      <c r="AD10" s="49" t="s">
        <v>26</v>
      </c>
      <c r="AE10" s="49" t="s">
        <v>26</v>
      </c>
    </row>
    <row r="11" spans="1:31" ht="14.4" customHeight="1">
      <c r="A11" s="156"/>
      <c r="B11" s="50" t="s">
        <v>41</v>
      </c>
      <c r="C11" s="50" t="s">
        <v>41</v>
      </c>
      <c r="D11" s="50" t="s">
        <v>41</v>
      </c>
      <c r="E11" s="50" t="s">
        <v>38</v>
      </c>
      <c r="F11" s="50" t="s">
        <v>38</v>
      </c>
      <c r="G11" s="50" t="s">
        <v>38</v>
      </c>
      <c r="H11" s="50" t="s">
        <v>38</v>
      </c>
      <c r="I11" s="50" t="s">
        <v>38</v>
      </c>
      <c r="J11" s="50" t="s">
        <v>38</v>
      </c>
      <c r="K11" s="50" t="s">
        <v>38</v>
      </c>
      <c r="L11" s="50" t="s">
        <v>38</v>
      </c>
      <c r="M11" s="50" t="s">
        <v>38</v>
      </c>
      <c r="N11" s="50" t="s">
        <v>38</v>
      </c>
      <c r="O11" s="50" t="s">
        <v>42</v>
      </c>
      <c r="P11" s="50" t="s">
        <v>42</v>
      </c>
      <c r="Q11" s="50" t="s">
        <v>42</v>
      </c>
      <c r="R11" s="50" t="s">
        <v>42</v>
      </c>
      <c r="S11" s="50" t="s">
        <v>174</v>
      </c>
      <c r="T11" s="50" t="s">
        <v>174</v>
      </c>
      <c r="U11" s="50" t="s">
        <v>174</v>
      </c>
      <c r="V11" s="50" t="s">
        <v>174</v>
      </c>
      <c r="W11" s="50" t="s">
        <v>38</v>
      </c>
      <c r="X11" s="50" t="s">
        <v>38</v>
      </c>
      <c r="Y11" s="50" t="s">
        <v>38</v>
      </c>
      <c r="Z11" s="50" t="s">
        <v>38</v>
      </c>
      <c r="AA11" s="50" t="s">
        <v>38</v>
      </c>
      <c r="AB11" s="50" t="s">
        <v>38</v>
      </c>
      <c r="AC11" s="50" t="s">
        <v>38</v>
      </c>
      <c r="AD11" s="50" t="s">
        <v>38</v>
      </c>
      <c r="AE11" s="50" t="s">
        <v>38</v>
      </c>
    </row>
    <row r="12" spans="1:31" ht="15.6">
      <c r="A12" s="156"/>
      <c r="B12" s="51" t="s">
        <v>17</v>
      </c>
      <c r="C12" s="51" t="s">
        <v>19</v>
      </c>
      <c r="D12" s="51" t="s">
        <v>20</v>
      </c>
      <c r="E12" s="51" t="s">
        <v>17</v>
      </c>
      <c r="F12" s="51" t="s">
        <v>19</v>
      </c>
      <c r="G12" s="51" t="s">
        <v>20</v>
      </c>
      <c r="H12" s="51" t="s">
        <v>22</v>
      </c>
      <c r="I12" s="51" t="s">
        <v>24</v>
      </c>
      <c r="J12" s="51" t="s">
        <v>24</v>
      </c>
      <c r="K12" s="51" t="s">
        <v>297</v>
      </c>
      <c r="L12" s="51" t="s">
        <v>297</v>
      </c>
      <c r="M12" s="51" t="s">
        <v>298</v>
      </c>
      <c r="N12" s="51" t="s">
        <v>298</v>
      </c>
      <c r="O12" s="51" t="s">
        <v>17</v>
      </c>
      <c r="P12" s="51" t="s">
        <v>17</v>
      </c>
      <c r="Q12" s="51" t="s">
        <v>19</v>
      </c>
      <c r="R12" s="51" t="s">
        <v>20</v>
      </c>
      <c r="S12" s="51" t="s">
        <v>17</v>
      </c>
      <c r="T12" s="51" t="s">
        <v>19</v>
      </c>
      <c r="U12" s="51" t="s">
        <v>20</v>
      </c>
      <c r="V12" s="51" t="s">
        <v>22</v>
      </c>
      <c r="W12" s="51" t="s">
        <v>17</v>
      </c>
      <c r="X12" s="51" t="s">
        <v>17</v>
      </c>
      <c r="Y12" s="51" t="s">
        <v>17</v>
      </c>
      <c r="Z12" s="51" t="s">
        <v>19</v>
      </c>
      <c r="AA12" s="51" t="s">
        <v>20</v>
      </c>
      <c r="AB12" s="51" t="s">
        <v>22</v>
      </c>
      <c r="AC12" s="51" t="s">
        <v>24</v>
      </c>
      <c r="AD12" s="51" t="s">
        <v>297</v>
      </c>
      <c r="AE12" s="51" t="s">
        <v>298</v>
      </c>
    </row>
    <row r="13" spans="1:31" ht="15.6">
      <c r="A13" s="156"/>
      <c r="B13" s="51" t="s">
        <v>428</v>
      </c>
      <c r="C13" s="51" t="s">
        <v>428</v>
      </c>
      <c r="D13" s="51" t="s">
        <v>428</v>
      </c>
      <c r="E13" s="51" t="s">
        <v>428</v>
      </c>
      <c r="F13" s="51" t="s">
        <v>428</v>
      </c>
      <c r="G13" s="51" t="s">
        <v>428</v>
      </c>
      <c r="H13" s="51" t="s">
        <v>428</v>
      </c>
      <c r="I13" s="51" t="s">
        <v>428</v>
      </c>
      <c r="J13" s="51" t="s">
        <v>421</v>
      </c>
      <c r="K13" s="51" t="s">
        <v>428</v>
      </c>
      <c r="L13" s="51" t="s">
        <v>421</v>
      </c>
      <c r="M13" s="51" t="s">
        <v>428</v>
      </c>
      <c r="N13" s="51" t="s">
        <v>421</v>
      </c>
      <c r="O13" s="51" t="s">
        <v>428</v>
      </c>
      <c r="P13" s="51" t="s">
        <v>426</v>
      </c>
      <c r="Q13" s="51" t="s">
        <v>428</v>
      </c>
      <c r="R13" s="51" t="s">
        <v>428</v>
      </c>
      <c r="S13" s="51" t="s">
        <v>428</v>
      </c>
      <c r="T13" s="51" t="s">
        <v>428</v>
      </c>
      <c r="U13" s="51" t="s">
        <v>428</v>
      </c>
      <c r="V13" s="51" t="s">
        <v>428</v>
      </c>
      <c r="W13" s="51" t="s">
        <v>428</v>
      </c>
      <c r="X13" s="51" t="s">
        <v>424</v>
      </c>
      <c r="Y13" s="51" t="s">
        <v>425</v>
      </c>
      <c r="Z13" s="51" t="s">
        <v>428</v>
      </c>
      <c r="AA13" s="51" t="s">
        <v>428</v>
      </c>
      <c r="AB13" s="51" t="s">
        <v>428</v>
      </c>
      <c r="AC13" s="51" t="s">
        <v>428</v>
      </c>
      <c r="AD13" s="51" t="s">
        <v>428</v>
      </c>
      <c r="AE13" s="51" t="s">
        <v>428</v>
      </c>
    </row>
    <row r="14" spans="1:31" ht="16.2" customHeight="1">
      <c r="A14" s="157"/>
      <c r="B14" s="52">
        <v>1500</v>
      </c>
      <c r="C14" s="52">
        <v>1500</v>
      </c>
      <c r="D14" s="52">
        <v>1500</v>
      </c>
      <c r="E14" s="52">
        <v>1500</v>
      </c>
      <c r="F14" s="52">
        <v>1500</v>
      </c>
      <c r="G14" s="52">
        <v>1500</v>
      </c>
      <c r="H14" s="52">
        <v>2500</v>
      </c>
      <c r="I14" s="52">
        <v>3900</v>
      </c>
      <c r="J14" s="52">
        <v>5000</v>
      </c>
      <c r="K14" s="52">
        <v>3900</v>
      </c>
      <c r="L14" s="52">
        <v>5000</v>
      </c>
      <c r="M14" s="52">
        <v>3900</v>
      </c>
      <c r="N14" s="52">
        <v>5000</v>
      </c>
      <c r="O14" s="53">
        <v>2200</v>
      </c>
      <c r="P14" s="53">
        <v>500</v>
      </c>
      <c r="Q14" s="53">
        <v>2200</v>
      </c>
      <c r="R14" s="53">
        <v>2200</v>
      </c>
      <c r="S14" s="52">
        <v>1800</v>
      </c>
      <c r="T14" s="52">
        <v>2600</v>
      </c>
      <c r="U14" s="52">
        <v>2600</v>
      </c>
      <c r="V14" s="52">
        <v>7000</v>
      </c>
      <c r="W14" s="52">
        <v>3000</v>
      </c>
      <c r="X14" s="53">
        <v>2800</v>
      </c>
      <c r="Y14" s="53">
        <v>2200</v>
      </c>
      <c r="Z14" s="52">
        <v>2800</v>
      </c>
      <c r="AA14" s="52">
        <v>2800</v>
      </c>
      <c r="AB14" s="52">
        <v>7000</v>
      </c>
      <c r="AC14" s="52">
        <v>8500</v>
      </c>
      <c r="AD14" s="52">
        <v>8500</v>
      </c>
      <c r="AE14" s="52">
        <v>8500</v>
      </c>
    </row>
    <row r="15" spans="1:31">
      <c r="A15" s="70"/>
      <c r="B15" s="68"/>
      <c r="C15" s="68"/>
      <c r="D15" s="68"/>
      <c r="E15" s="68"/>
      <c r="F15" s="68"/>
      <c r="G15" s="68"/>
      <c r="H15" s="68"/>
      <c r="J15" s="67"/>
      <c r="K15" s="67"/>
      <c r="L15" s="67"/>
      <c r="N15" s="67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</row>
    <row r="16" spans="1:31">
      <c r="A16" s="70"/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X16" s="68"/>
      <c r="Y16" s="68"/>
      <c r="Z16" s="68"/>
      <c r="AA16" s="68"/>
      <c r="AB16" s="68"/>
      <c r="AC16" s="68"/>
      <c r="AD16" s="68"/>
      <c r="AE16" s="68"/>
    </row>
    <row r="17" spans="1:31">
      <c r="A17" s="70"/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X17" s="68"/>
      <c r="Y17" s="68"/>
      <c r="Z17" s="68"/>
      <c r="AA17" s="68"/>
      <c r="AB17" s="68"/>
      <c r="AC17" s="68"/>
      <c r="AD17" s="68"/>
      <c r="AE17" s="68"/>
    </row>
    <row r="18" spans="1:31" ht="14.4" customHeight="1">
      <c r="A18" s="155" t="s">
        <v>423</v>
      </c>
      <c r="B18" s="69" t="s">
        <v>16</v>
      </c>
      <c r="C18" s="69" t="s">
        <v>16</v>
      </c>
      <c r="D18" s="69" t="s">
        <v>16</v>
      </c>
      <c r="E18" s="69" t="s">
        <v>16</v>
      </c>
      <c r="F18" s="69" t="s">
        <v>16</v>
      </c>
      <c r="G18" s="69" t="s">
        <v>16</v>
      </c>
      <c r="H18" s="69" t="s">
        <v>16</v>
      </c>
      <c r="I18" s="69" t="s">
        <v>16</v>
      </c>
      <c r="J18" s="69" t="s">
        <v>16</v>
      </c>
      <c r="K18" s="69" t="s">
        <v>16</v>
      </c>
      <c r="L18" s="69" t="s">
        <v>16</v>
      </c>
      <c r="M18" s="69" t="s">
        <v>16</v>
      </c>
      <c r="N18" s="69" t="s">
        <v>16</v>
      </c>
      <c r="O18" s="69" t="s">
        <v>26</v>
      </c>
      <c r="P18" s="69" t="s">
        <v>26</v>
      </c>
      <c r="Q18" s="69" t="s">
        <v>26</v>
      </c>
      <c r="R18" s="69" t="s">
        <v>26</v>
      </c>
      <c r="S18" s="69" t="s">
        <v>26</v>
      </c>
      <c r="T18" s="69" t="s">
        <v>26</v>
      </c>
      <c r="U18" s="69" t="s">
        <v>26</v>
      </c>
      <c r="V18" s="69" t="s">
        <v>26</v>
      </c>
      <c r="W18" s="69" t="s">
        <v>26</v>
      </c>
      <c r="X18" s="69" t="s">
        <v>26</v>
      </c>
      <c r="Y18" s="69" t="s">
        <v>26</v>
      </c>
      <c r="Z18" s="69" t="s">
        <v>26</v>
      </c>
      <c r="AA18" s="69" t="s">
        <v>26</v>
      </c>
      <c r="AB18" s="69" t="s">
        <v>26</v>
      </c>
      <c r="AC18" s="69" t="s">
        <v>26</v>
      </c>
      <c r="AD18" s="69" t="s">
        <v>26</v>
      </c>
      <c r="AE18" s="69" t="s">
        <v>26</v>
      </c>
    </row>
    <row r="19" spans="1:31" ht="14.4" customHeight="1">
      <c r="A19" s="156"/>
      <c r="B19" s="50" t="s">
        <v>41</v>
      </c>
      <c r="C19" s="50" t="s">
        <v>41</v>
      </c>
      <c r="D19" s="50" t="s">
        <v>41</v>
      </c>
      <c r="E19" s="50" t="s">
        <v>38</v>
      </c>
      <c r="F19" s="50" t="s">
        <v>38</v>
      </c>
      <c r="G19" s="50" t="s">
        <v>38</v>
      </c>
      <c r="H19" s="50" t="s">
        <v>38</v>
      </c>
      <c r="I19" s="50" t="s">
        <v>38</v>
      </c>
      <c r="J19" s="50" t="s">
        <v>38</v>
      </c>
      <c r="K19" s="50" t="s">
        <v>38</v>
      </c>
      <c r="L19" s="50" t="s">
        <v>38</v>
      </c>
      <c r="M19" s="50" t="s">
        <v>38</v>
      </c>
      <c r="N19" s="50" t="s">
        <v>38</v>
      </c>
      <c r="O19" s="50" t="s">
        <v>42</v>
      </c>
      <c r="P19" s="50" t="s">
        <v>42</v>
      </c>
      <c r="Q19" s="50" t="s">
        <v>42</v>
      </c>
      <c r="R19" s="50" t="s">
        <v>42</v>
      </c>
      <c r="S19" s="50" t="s">
        <v>174</v>
      </c>
      <c r="T19" s="50" t="s">
        <v>174</v>
      </c>
      <c r="U19" s="50" t="s">
        <v>174</v>
      </c>
      <c r="V19" s="50" t="s">
        <v>174</v>
      </c>
      <c r="W19" s="50" t="s">
        <v>38</v>
      </c>
      <c r="X19" s="50" t="s">
        <v>38</v>
      </c>
      <c r="Y19" s="50" t="s">
        <v>38</v>
      </c>
      <c r="Z19" s="50" t="s">
        <v>38</v>
      </c>
      <c r="AA19" s="50" t="s">
        <v>38</v>
      </c>
      <c r="AB19" s="50" t="s">
        <v>38</v>
      </c>
      <c r="AC19" s="50" t="s">
        <v>38</v>
      </c>
      <c r="AD19" s="50" t="s">
        <v>38</v>
      </c>
      <c r="AE19" s="50" t="s">
        <v>38</v>
      </c>
    </row>
    <row r="20" spans="1:31" ht="15.6">
      <c r="A20" s="156"/>
      <c r="B20" s="51" t="s">
        <v>17</v>
      </c>
      <c r="C20" s="51" t="s">
        <v>19</v>
      </c>
      <c r="D20" s="51" t="s">
        <v>20</v>
      </c>
      <c r="E20" s="51" t="s">
        <v>17</v>
      </c>
      <c r="F20" s="51" t="s">
        <v>19</v>
      </c>
      <c r="G20" s="51" t="s">
        <v>20</v>
      </c>
      <c r="H20" s="51" t="s">
        <v>22</v>
      </c>
      <c r="I20" s="51" t="s">
        <v>24</v>
      </c>
      <c r="J20" s="51" t="s">
        <v>24</v>
      </c>
      <c r="K20" s="51" t="s">
        <v>297</v>
      </c>
      <c r="L20" s="51" t="s">
        <v>297</v>
      </c>
      <c r="M20" s="51" t="s">
        <v>298</v>
      </c>
      <c r="N20" s="51" t="s">
        <v>298</v>
      </c>
      <c r="O20" s="56" t="s">
        <v>17</v>
      </c>
      <c r="P20" s="56" t="s">
        <v>17</v>
      </c>
      <c r="Q20" s="56" t="s">
        <v>19</v>
      </c>
      <c r="R20" s="56" t="s">
        <v>20</v>
      </c>
      <c r="S20" s="51" t="s">
        <v>17</v>
      </c>
      <c r="T20" s="51" t="s">
        <v>19</v>
      </c>
      <c r="U20" s="51" t="s">
        <v>20</v>
      </c>
      <c r="V20" s="51" t="s">
        <v>22</v>
      </c>
      <c r="W20" s="51" t="s">
        <v>17</v>
      </c>
      <c r="X20" s="51" t="s">
        <v>17</v>
      </c>
      <c r="Y20" s="51" t="s">
        <v>17</v>
      </c>
      <c r="Z20" s="51" t="s">
        <v>19</v>
      </c>
      <c r="AA20" s="51" t="s">
        <v>20</v>
      </c>
      <c r="AB20" s="51" t="s">
        <v>22</v>
      </c>
      <c r="AC20" s="51" t="s">
        <v>24</v>
      </c>
      <c r="AD20" s="51" t="s">
        <v>297</v>
      </c>
      <c r="AE20" s="51" t="s">
        <v>298</v>
      </c>
    </row>
    <row r="21" spans="1:31" ht="15.6">
      <c r="A21" s="156"/>
      <c r="B21" s="56" t="s">
        <v>428</v>
      </c>
      <c r="C21" s="56" t="s">
        <v>428</v>
      </c>
      <c r="D21" s="56" t="s">
        <v>428</v>
      </c>
      <c r="E21" s="56" t="s">
        <v>428</v>
      </c>
      <c r="F21" s="56" t="s">
        <v>428</v>
      </c>
      <c r="G21" s="56" t="s">
        <v>428</v>
      </c>
      <c r="H21" s="56" t="s">
        <v>428</v>
      </c>
      <c r="I21" s="56" t="s">
        <v>428</v>
      </c>
      <c r="J21" s="56" t="s">
        <v>421</v>
      </c>
      <c r="K21" s="56" t="s">
        <v>428</v>
      </c>
      <c r="L21" s="56" t="s">
        <v>421</v>
      </c>
      <c r="M21" s="56" t="s">
        <v>428</v>
      </c>
      <c r="N21" s="56" t="s">
        <v>421</v>
      </c>
      <c r="O21" s="56" t="s">
        <v>428</v>
      </c>
      <c r="P21" s="56" t="s">
        <v>426</v>
      </c>
      <c r="Q21" s="56" t="s">
        <v>428</v>
      </c>
      <c r="R21" s="56" t="s">
        <v>428</v>
      </c>
      <c r="S21" s="56" t="s">
        <v>428</v>
      </c>
      <c r="T21" s="56" t="s">
        <v>428</v>
      </c>
      <c r="U21" s="56" t="s">
        <v>428</v>
      </c>
      <c r="V21" s="56" t="s">
        <v>428</v>
      </c>
      <c r="W21" s="56" t="s">
        <v>428</v>
      </c>
      <c r="X21" s="56" t="s">
        <v>424</v>
      </c>
      <c r="Y21" s="56" t="s">
        <v>425</v>
      </c>
      <c r="Z21" s="56" t="s">
        <v>428</v>
      </c>
      <c r="AA21" s="56" t="s">
        <v>428</v>
      </c>
      <c r="AB21" s="56" t="s">
        <v>428</v>
      </c>
      <c r="AC21" s="56" t="s">
        <v>428</v>
      </c>
      <c r="AD21" s="56" t="s">
        <v>428</v>
      </c>
      <c r="AE21" s="56" t="s">
        <v>428</v>
      </c>
    </row>
    <row r="22" spans="1:31">
      <c r="A22" s="157"/>
      <c r="B22" s="55">
        <v>0.22</v>
      </c>
      <c r="C22" s="55">
        <v>0.22</v>
      </c>
      <c r="D22" s="55">
        <v>0.22</v>
      </c>
      <c r="E22" s="55">
        <v>0.22</v>
      </c>
      <c r="F22" s="55">
        <v>0.22</v>
      </c>
      <c r="G22" s="55">
        <v>0.22</v>
      </c>
      <c r="H22" s="55">
        <v>0.22</v>
      </c>
      <c r="I22" s="55">
        <v>0.22</v>
      </c>
      <c r="J22" s="55">
        <v>0.22</v>
      </c>
      <c r="K22" s="55">
        <v>0.22</v>
      </c>
      <c r="L22" s="55">
        <v>0.22</v>
      </c>
      <c r="M22" s="55">
        <v>0.22</v>
      </c>
      <c r="N22" s="55">
        <v>0.22</v>
      </c>
      <c r="O22" s="55">
        <v>0.22</v>
      </c>
      <c r="P22" s="55">
        <v>0.22</v>
      </c>
      <c r="Q22" s="55">
        <v>0.22</v>
      </c>
      <c r="R22" s="55">
        <v>0.22</v>
      </c>
      <c r="S22" s="55">
        <v>0.22</v>
      </c>
      <c r="T22" s="55">
        <v>0.22</v>
      </c>
      <c r="U22" s="55">
        <v>0.22</v>
      </c>
      <c r="V22" s="55">
        <v>0.22</v>
      </c>
      <c r="W22" s="55">
        <v>0.22</v>
      </c>
      <c r="X22" s="55">
        <v>0.22</v>
      </c>
      <c r="Y22" s="55">
        <v>0.22</v>
      </c>
      <c r="Z22" s="55">
        <v>0.22</v>
      </c>
      <c r="AA22" s="55">
        <v>0.22</v>
      </c>
      <c r="AB22" s="55">
        <v>0.22</v>
      </c>
      <c r="AC22" s="55">
        <v>0.22</v>
      </c>
      <c r="AD22" s="55">
        <v>0.22</v>
      </c>
      <c r="AE22" s="55">
        <v>0.22</v>
      </c>
    </row>
  </sheetData>
  <sheetProtection algorithmName="SHA-512" hashValue="Nn9t+tS62wppgRzkDyGWe4IJAa05wePKro66PUGcV0WlqVSitxe10cpJtS2eeYo05kMAXwKdDGM2jsWuInfX4w==" saltValue="1hNHVg1rGfITBnssl2FavQ==" spinCount="100000" sheet="1" objects="1" scenarios="1" selectLockedCells="1" selectUnlockedCells="1"/>
  <mergeCells count="3">
    <mergeCell ref="A10:A14"/>
    <mergeCell ref="A6:A7"/>
    <mergeCell ref="A18:A22"/>
  </mergeCells>
  <conditionalFormatting sqref="A1:XFD1048576">
    <cfRule type="expression" dxfId="0" priority="1" stopIfTrue="1">
      <formula>TRUE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1</vt:i4>
      </vt:variant>
    </vt:vector>
  </HeadingPairs>
  <TitlesOfParts>
    <vt:vector size="3" baseType="lpstr">
      <vt:lpstr>Kalkulator Oferty</vt:lpstr>
      <vt:lpstr>KAROL</vt:lpstr>
      <vt:lpstr>ListaModeliFiltrowana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Karolina Leśków</dc:creator>
  <cp:lastModifiedBy>Karolina Leśków</cp:lastModifiedBy>
  <dcterms:created xsi:type="dcterms:W3CDTF">2026-07-14T12:57:52Z</dcterms:created>
  <dcterms:modified xsi:type="dcterms:W3CDTF">2026-09-22T10:57:54Z</dcterms:modified>
</cp:coreProperties>
</file>