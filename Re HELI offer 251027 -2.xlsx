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<sst xmlns="http://schemas.openxmlformats.org/spreadsheetml/2006/main" count="71" uniqueCount="38">
  <si>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QUOTATION for ANHUI HELI INDUSTRIAL VEHICLE IMP. AND EXP. CO., LTD</t>
  </si>
  <si>
    <r>
      <rPr>
        <sz val="10"/>
        <color indexed="8"/>
        <rFont val="Times New Roman"/>
        <charset val="238"/>
      </rPr>
      <t>I. DETAILED CHARACTERS</t>
    </r>
    <r>
      <rPr>
        <sz val="10"/>
        <color indexed="8"/>
        <rFont val="宋体"/>
        <charset val="134"/>
      </rPr>
      <t>：</t>
    </r>
  </si>
  <si>
    <t>Item</t>
  </si>
  <si>
    <t>Model</t>
  </si>
  <si>
    <t>ENGINE /
 CONTROLLER</t>
  </si>
  <si>
    <t>Qty.</t>
  </si>
  <si>
    <t>MAST</t>
  </si>
  <si>
    <t>CONTROL VALVE</t>
  </si>
  <si>
    <t>TYRES</t>
  </si>
  <si>
    <t>SIDE SHIFTER</t>
  </si>
  <si>
    <t>FORKS</t>
  </si>
  <si>
    <t>SEAT</t>
  </si>
  <si>
    <t>Others</t>
  </si>
  <si>
    <t>Total Amount</t>
  </si>
  <si>
    <t>Discount</t>
  </si>
  <si>
    <t>FOB NANJING</t>
  </si>
  <si>
    <t>CPYD35-KU1RG3</t>
  </si>
  <si>
    <t>Kubota LPG</t>
  </si>
  <si>
    <t>M300</t>
  </si>
  <si>
    <t>4 Valves</t>
  </si>
  <si>
    <t>PN</t>
  </si>
  <si>
    <t>Hook on SS
LC35</t>
  </si>
  <si>
    <t>Grammer with fingertips</t>
  </si>
  <si>
    <t>Full OPS</t>
  </si>
  <si>
    <t>LED  lights and blue spot LED rear</t>
  </si>
  <si>
    <t>Cabine with heather and air condioction</t>
  </si>
  <si>
    <t>universal key &amp;CB Weight net</t>
  </si>
  <si>
    <t>scale</t>
  </si>
  <si>
    <t>USB</t>
  </si>
  <si>
    <t>M330</t>
  </si>
  <si>
    <t>SE</t>
  </si>
  <si>
    <t>1220mm</t>
  </si>
  <si>
    <t>Suspension seat</t>
  </si>
  <si>
    <t>LED  lights</t>
  </si>
  <si>
    <t>Cabine with heather</t>
  </si>
  <si>
    <t>$70,00</t>
  </si>
  <si>
    <t>$130,00</t>
  </si>
  <si>
    <t>ZSM500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</si>
</sst>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\$#,##0.00"/>
  </numFmts>
  <fonts count="27">
    <font>
      <sz val="11"/>
      <color theme="1"/>
      <name val="宋体"/>
      <charset val="134"/>
      <scheme val="minor"/>
    </font>
    <font>
      <sz val="10"/>
      <color theme="1"/>
      <name val="Times New Roman"/>
      <charset val="238"/>
    </font>
    <font>
      <sz val="10"/>
      <color indexed="8"/>
      <name val="Times New Roman"/>
      <charset val="238"/>
    </font>
    <font>
      <sz val="10"/>
      <name val="Times New Roman"/>
      <charset val="238"/>
    </font>
    <font>
      <sz val="10"/>
      <color theme="1"/>
      <name val="Calibri"/>
      <charset val="238"/>
    </font>
    <font>
      <sz val="11"/>
      <color theme="1"/>
      <name val="宋体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57" applyFont="1" applyBorder="1" applyAlignment="1">
      <alignment horizontal="center" vertical="center" wrapText="1"/>
    </xf>
    <xf numFmtId="0" fontId="1" fillId="2" borderId="1" xfId="63" applyFont="1" applyFill="1" applyBorder="1" applyAlignment="1">
      <alignment horizontal="center" vertical="center" wrapText="1"/>
    </xf>
    <xf numFmtId="0" fontId="1" fillId="0" borderId="1" xfId="63" applyFont="1" applyBorder="1" applyAlignment="1">
      <alignment horizontal="center" vertical="center" wrapText="1"/>
    </xf>
    <xf numFmtId="0" fontId="3" fillId="0" borderId="1" xfId="63" applyFont="1" applyBorder="1" applyAlignment="1">
      <alignment horizontal="center" vertical="center" wrapText="1"/>
    </xf>
    <xf numFmtId="176" fontId="1" fillId="2" borderId="1" xfId="63" applyNumberFormat="1" applyFont="1" applyFill="1" applyBorder="1" applyAlignment="1">
      <alignment horizontal="center" vertical="center" wrapText="1"/>
    </xf>
    <xf numFmtId="176" fontId="1" fillId="0" borderId="1" xfId="63" applyNumberFormat="1" applyFont="1" applyBorder="1" applyAlignment="1">
      <alignment horizontal="center" vertical="center" wrapText="1"/>
    </xf>
    <xf numFmtId="0" fontId="3" fillId="2" borderId="1" xfId="63" applyFont="1" applyFill="1" applyBorder="1" applyAlignment="1">
      <alignment horizontal="center" vertical="center" wrapText="1"/>
    </xf>
    <xf numFmtId="0" fontId="3" fillId="2" borderId="1" xfId="62" applyFont="1" applyFill="1" applyBorder="1" applyAlignment="1">
      <alignment horizontal="center" vertical="center" wrapText="1"/>
    </xf>
    <xf numFmtId="176" fontId="3" fillId="2" borderId="2" xfId="63" applyNumberFormat="1" applyFont="1" applyFill="1" applyBorder="1" applyAlignment="1">
      <alignment horizontal="center" vertical="center" wrapText="1"/>
    </xf>
    <xf numFmtId="176" fontId="3" fillId="2" borderId="3" xfId="63" applyNumberFormat="1" applyFont="1" applyFill="1" applyBorder="1" applyAlignment="1">
      <alignment horizontal="center" vertical="center" wrapText="1"/>
    </xf>
    <xf numFmtId="176" fontId="3" fillId="2" borderId="1" xfId="63" applyNumberFormat="1" applyFont="1" applyFill="1" applyBorder="1" applyAlignment="1">
      <alignment horizontal="center" vertical="center" wrapText="1"/>
    </xf>
    <xf numFmtId="176" fontId="3" fillId="2" borderId="1" xfId="62" applyNumberFormat="1" applyFont="1" applyFill="1" applyBorder="1" applyAlignment="1">
      <alignment horizontal="center" vertical="center" wrapText="1"/>
    </xf>
    <xf numFmtId="176" fontId="3" fillId="0" borderId="2" xfId="63" applyNumberFormat="1" applyFont="1" applyBorder="1" applyAlignment="1">
      <alignment horizontal="center" vertical="center" wrapText="1"/>
    </xf>
    <xf numFmtId="176" fontId="3" fillId="0" borderId="3" xfId="63" applyNumberFormat="1" applyFont="1" applyBorder="1" applyAlignment="1">
      <alignment horizontal="center" vertical="center" wrapText="1"/>
    </xf>
    <xf numFmtId="176" fontId="3" fillId="0" borderId="1" xfId="63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1" xfId="63" applyFont="1" applyFill="1" applyBorder="1" applyAlignment="1">
      <alignment horizontal="center" vertical="center" wrapText="1"/>
    </xf>
    <xf numFmtId="176" fontId="1" fillId="3" borderId="1" xfId="63" applyNumberFormat="1" applyFont="1" applyFill="1" applyBorder="1" applyAlignment="1">
      <alignment horizontal="center" vertical="center" wrapText="1"/>
    </xf>
    <xf numFmtId="0" fontId="3" fillId="2" borderId="1" xfId="63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2" borderId="1" xfId="63" applyFont="1" applyFill="1" applyBorder="1" applyAlignment="1">
      <alignment horizontal="center" vertical="center" wrapText="1"/>
    </xf>
    <xf numFmtId="0" fontId="3" fillId="0" borderId="1" xfId="59" applyFont="1" applyBorder="1" applyAlignment="1">
      <alignment horizontal="center" vertical="center" wrapText="1"/>
    </xf>
    <xf numFmtId="176" fontId="4" fillId="2" borderId="1" xfId="63" applyNumberFormat="1" applyFont="1" applyFill="1" applyBorder="1" applyAlignment="1">
      <alignment horizontal="center" vertical="center" wrapText="1"/>
    </xf>
    <xf numFmtId="176" fontId="1" fillId="0" borderId="1" xfId="59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77" fontId="3" fillId="3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1" fillId="0" borderId="1" xfId="57" applyNumberFormat="1" applyFont="1" applyBorder="1" applyAlignment="1">
      <alignment horizontal="center" vertical="center" wrapText="1"/>
    </xf>
    <xf numFmtId="9" fontId="3" fillId="2" borderId="1" xfId="3" applyFont="1" applyFill="1" applyBorder="1" applyAlignment="1" applyProtection="1">
      <alignment horizontal="center"/>
    </xf>
    <xf numFmtId="176" fontId="3" fillId="0" borderId="1" xfId="0" applyNumberFormat="1" applyFont="1" applyBorder="1" applyAlignment="1">
      <alignment horizont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ny 4" xfId="49"/>
    <cellStyle name="Procentowy 2" xfId="50"/>
    <cellStyle name="Procentowy 2 2" xfId="51"/>
    <cellStyle name="Procentowy 2 2 2" xfId="52"/>
    <cellStyle name="Procentowy 2 3" xfId="53"/>
    <cellStyle name="Procentowy 3" xfId="54"/>
    <cellStyle name="Procentowy 3 2" xfId="55"/>
    <cellStyle name="Procentowy 4" xfId="56"/>
    <cellStyle name="常规 2 2" xfId="57"/>
    <cellStyle name="常规 2 2 2" xfId="58"/>
    <cellStyle name="常规 2 2 2 2" xfId="59"/>
    <cellStyle name="常规 2 2 2 2 2" xfId="60"/>
    <cellStyle name="常规 2 2 2 3" xfId="61"/>
    <cellStyle name="常规 2 2 3" xfId="62"/>
    <cellStyle name="常规 2 2 3 2" xfId="63"/>
    <cellStyle name="常规 2 2 4" xfId="64"/>
  </cellStyles>
  <tableStyles count="0" defaultTableStyle="TableStyleMedium2" defaultPivotStyle="PivotStyleLight16"/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11"/>
  <sheetViews>
    <sheetView showGridLines="0" tabSelected="1" zoomScale="120" zoomScaleNormal="120" workbookViewId="0">
      <selection activeCell="L4" sqref="L4:L5"/>
    </sheetView>
  </sheetViews>
  <sheetFormatPr defaultColWidth="8.77777777777778" defaultRowHeight="13.2"/>
  <cols>
    <col min="1" max="1" width="4.77777777777778" style="2" customWidth="1"/>
    <col min="2" max="2" width="10" style="2" customWidth="1"/>
    <col min="3" max="3" width="11.5555555555556" style="2" customWidth="1"/>
    <col min="4" max="4" width="4.44444444444444" style="2" customWidth="1"/>
    <col min="5" max="5" width="8.44444444444444" style="2" customWidth="1"/>
    <col min="6" max="7" width="8.77777777777778" style="2"/>
    <col min="8" max="8" width="9.22222222222222" style="2" customWidth="1"/>
    <col min="9" max="9" width="18.3333333333333" style="2" customWidth="1"/>
    <col min="10" max="10" width="10.7777777777778" style="2" customWidth="1"/>
    <col min="11" max="12" width="8.77777777777778" style="2"/>
    <col min="13" max="13" width="15.5555555555556" style="2" customWidth="1"/>
    <col min="14" max="15" width="13.7777777777778" style="2" customWidth="1"/>
    <col min="16" max="16" width="11.6666666666667" style="2" customWidth="1"/>
    <col min="17" max="18" width="20.3333333333333" style="2" customWidth="1"/>
    <col min="19" max="19" width="10.4444444444444" style="2" customWidth="1"/>
    <col min="20" max="16384" width="8.77777777777778" style="2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="1" customFormat="1" ht="52.8" spans="1:2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21" t="s">
        <v>12</v>
      </c>
      <c r="L3" s="22"/>
      <c r="M3" s="22"/>
      <c r="N3" s="26"/>
      <c r="O3" s="26"/>
      <c r="P3" s="27"/>
      <c r="Q3" s="32" t="s">
        <v>13</v>
      </c>
      <c r="R3" s="32" t="s">
        <v>14</v>
      </c>
      <c r="S3" s="32" t="s">
        <v>15</v>
      </c>
      <c r="T3" s="33"/>
    </row>
    <row r="4" ht="52.8" spans="1:19">
      <c r="A4" s="6">
        <v>1</v>
      </c>
      <c r="B4" s="7" t="s">
        <v>16</v>
      </c>
      <c r="C4" s="8" t="s">
        <v>17</v>
      </c>
      <c r="D4" s="9">
        <v>1</v>
      </c>
      <c r="E4" s="12" t="s">
        <v>18</v>
      </c>
      <c r="F4" s="7" t="s">
        <v>19</v>
      </c>
      <c r="G4" s="12" t="s">
        <v>20</v>
      </c>
      <c r="H4" s="13" t="s">
        <v>21</v>
      </c>
      <c r="I4" s="12">
        <v>2000</v>
      </c>
      <c r="J4" s="12" t="s">
        <v>22</v>
      </c>
      <c r="K4" s="12" t="s">
        <v>23</v>
      </c>
      <c r="L4" s="23" t="s">
        <v>24</v>
      </c>
      <c r="M4" s="12" t="s">
        <v>25</v>
      </c>
      <c r="N4" s="28" t="s">
        <v>26</v>
      </c>
      <c r="O4" s="12" t="s">
        <v>27</v>
      </c>
      <c r="P4" s="29" t="s">
        <v>28</v>
      </c>
      <c r="Q4" s="6"/>
      <c r="R4" s="34">
        <v>-1500</v>
      </c>
      <c r="S4" s="35"/>
    </row>
    <row r="5" ht="13.8" spans="1:19">
      <c r="A5" s="6"/>
      <c r="B5" s="10">
        <v>18500</v>
      </c>
      <c r="C5" s="11"/>
      <c r="D5" s="11"/>
      <c r="E5" s="14">
        <v>340</v>
      </c>
      <c r="F5" s="15"/>
      <c r="G5" s="16">
        <v>0</v>
      </c>
      <c r="H5" s="17">
        <v>450</v>
      </c>
      <c r="I5" s="10">
        <v>440</v>
      </c>
      <c r="J5" s="16">
        <f>3770+390</f>
        <v>4160</v>
      </c>
      <c r="K5" s="16">
        <v>360</v>
      </c>
      <c r="L5" s="24">
        <f>140+160</f>
        <v>300</v>
      </c>
      <c r="M5" s="10">
        <f>1340+140+1220</f>
        <v>2700</v>
      </c>
      <c r="N5" s="30">
        <v>60</v>
      </c>
      <c r="O5" s="10">
        <v>670</v>
      </c>
      <c r="P5" s="31">
        <v>20</v>
      </c>
      <c r="Q5" s="36">
        <f>SUM(B5:P5)</f>
        <v>28000</v>
      </c>
      <c r="R5" s="37">
        <v>-0.22</v>
      </c>
      <c r="S5" s="38">
        <f>Q5*(1+R5)+R4</f>
        <v>20340</v>
      </c>
    </row>
    <row r="6" ht="39.6" spans="1:19">
      <c r="A6" s="6">
        <v>2</v>
      </c>
      <c r="B6" s="7" t="s">
        <v>16</v>
      </c>
      <c r="C6" s="8" t="s">
        <v>17</v>
      </c>
      <c r="D6" s="9">
        <v>1</v>
      </c>
      <c r="E6" s="12" t="s">
        <v>29</v>
      </c>
      <c r="F6" s="7" t="s">
        <v>19</v>
      </c>
      <c r="G6" s="12" t="s">
        <v>30</v>
      </c>
      <c r="H6" s="13" t="s">
        <v>21</v>
      </c>
      <c r="I6" s="12" t="s">
        <v>31</v>
      </c>
      <c r="J6" s="12" t="s">
        <v>32</v>
      </c>
      <c r="K6" s="12" t="s">
        <v>23</v>
      </c>
      <c r="L6" s="25" t="s">
        <v>33</v>
      </c>
      <c r="M6" s="12" t="s">
        <v>34</v>
      </c>
      <c r="N6" s="28" t="s">
        <v>26</v>
      </c>
      <c r="O6" s="12"/>
      <c r="P6" s="29"/>
      <c r="Q6" s="6"/>
      <c r="R6" s="34">
        <v>-1500</v>
      </c>
      <c r="S6" s="35"/>
    </row>
    <row r="7" ht="13.8" spans="1:19">
      <c r="A7" s="6"/>
      <c r="B7" s="10">
        <v>18500</v>
      </c>
      <c r="C7" s="11"/>
      <c r="D7" s="11"/>
      <c r="E7" s="14">
        <v>570</v>
      </c>
      <c r="F7" s="15"/>
      <c r="G7" s="16">
        <v>470</v>
      </c>
      <c r="H7" s="17">
        <v>450</v>
      </c>
      <c r="I7" s="10" t="s">
        <v>35</v>
      </c>
      <c r="J7" s="16" t="s">
        <v>36</v>
      </c>
      <c r="K7" s="16">
        <v>360</v>
      </c>
      <c r="L7" s="10">
        <v>140</v>
      </c>
      <c r="M7" s="10">
        <f>1340+140</f>
        <v>1480</v>
      </c>
      <c r="N7" s="30">
        <v>60</v>
      </c>
      <c r="O7" s="10"/>
      <c r="P7" s="31"/>
      <c r="Q7" s="36">
        <f>SUM(B7:P7)</f>
        <v>22030</v>
      </c>
      <c r="R7" s="37">
        <v>-0.22</v>
      </c>
      <c r="S7" s="38">
        <f>Q7*(1+R7)+R6</f>
        <v>15683.4</v>
      </c>
    </row>
    <row r="8" ht="39.6" spans="1:19">
      <c r="A8" s="6">
        <v>3</v>
      </c>
      <c r="B8" s="7" t="s">
        <v>16</v>
      </c>
      <c r="C8" s="8" t="s">
        <v>17</v>
      </c>
      <c r="D8" s="9">
        <v>1</v>
      </c>
      <c r="E8" s="12" t="s">
        <v>29</v>
      </c>
      <c r="F8" s="7" t="s">
        <v>19</v>
      </c>
      <c r="G8" s="12" t="s">
        <v>30</v>
      </c>
      <c r="H8" s="13" t="s">
        <v>21</v>
      </c>
      <c r="I8" s="12" t="s">
        <v>31</v>
      </c>
      <c r="J8" s="12" t="s">
        <v>32</v>
      </c>
      <c r="K8" s="12" t="s">
        <v>23</v>
      </c>
      <c r="L8" s="25" t="s">
        <v>33</v>
      </c>
      <c r="M8" s="12" t="s">
        <v>34</v>
      </c>
      <c r="N8" s="28" t="s">
        <v>26</v>
      </c>
      <c r="O8" s="12"/>
      <c r="P8" s="29"/>
      <c r="Q8" s="6"/>
      <c r="R8" s="34">
        <v>-1500</v>
      </c>
      <c r="S8" s="35"/>
    </row>
    <row r="9" ht="13.8" spans="1:19">
      <c r="A9" s="6"/>
      <c r="B9" s="10">
        <v>18500</v>
      </c>
      <c r="C9" s="11"/>
      <c r="D9" s="11"/>
      <c r="E9" s="14">
        <v>570</v>
      </c>
      <c r="F9" s="15"/>
      <c r="G9" s="16">
        <v>470</v>
      </c>
      <c r="H9" s="17">
        <v>450</v>
      </c>
      <c r="I9" s="10" t="s">
        <v>35</v>
      </c>
      <c r="J9" s="16" t="s">
        <v>36</v>
      </c>
      <c r="K9" s="16">
        <v>360</v>
      </c>
      <c r="L9" s="10">
        <v>140</v>
      </c>
      <c r="M9" s="10">
        <f>1340+140</f>
        <v>1480</v>
      </c>
      <c r="N9" s="30">
        <v>60</v>
      </c>
      <c r="O9" s="10"/>
      <c r="P9" s="31"/>
      <c r="Q9" s="36">
        <f>SUM(B9:P9)</f>
        <v>22030</v>
      </c>
      <c r="R9" s="37">
        <v>-0.22</v>
      </c>
      <c r="S9" s="38">
        <f>Q9*(1+R9)+R8</f>
        <v>15683.4</v>
      </c>
    </row>
    <row r="10" ht="39.6" spans="1:19">
      <c r="A10" s="6">
        <v>4</v>
      </c>
      <c r="B10" s="7" t="s">
        <v>16</v>
      </c>
      <c r="C10" s="8" t="s">
        <v>17</v>
      </c>
      <c r="D10" s="9">
        <v>1</v>
      </c>
      <c r="E10" s="12" t="s">
        <v>37</v>
      </c>
      <c r="F10" s="7" t="s">
        <v>19</v>
      </c>
      <c r="G10" s="12" t="s">
        <v>30</v>
      </c>
      <c r="H10" s="13" t="s">
        <v>21</v>
      </c>
      <c r="I10" s="12" t="s">
        <v>31</v>
      </c>
      <c r="J10" s="12" t="s">
        <v>32</v>
      </c>
      <c r="K10" s="12" t="s">
        <v>23</v>
      </c>
      <c r="L10" s="25" t="s">
        <v>33</v>
      </c>
      <c r="M10" s="12" t="s">
        <v>34</v>
      </c>
      <c r="N10" s="28" t="s">
        <v>26</v>
      </c>
      <c r="O10" s="12"/>
      <c r="P10" s="29"/>
      <c r="Q10" s="6"/>
      <c r="R10" s="34">
        <v>-1500</v>
      </c>
      <c r="S10" s="35"/>
    </row>
    <row r="11" ht="13.8" spans="1:19">
      <c r="A11" s="6"/>
      <c r="B11" s="10">
        <v>18500</v>
      </c>
      <c r="C11" s="11"/>
      <c r="D11" s="11"/>
      <c r="E11" s="18">
        <v>2780</v>
      </c>
      <c r="F11" s="19"/>
      <c r="G11" s="20">
        <v>470</v>
      </c>
      <c r="H11" s="17">
        <v>450</v>
      </c>
      <c r="I11" s="11" t="s">
        <v>35</v>
      </c>
      <c r="J11" s="20" t="s">
        <v>36</v>
      </c>
      <c r="K11" s="20">
        <v>360</v>
      </c>
      <c r="L11" s="11">
        <v>140</v>
      </c>
      <c r="M11" s="10">
        <f>1340+140</f>
        <v>1480</v>
      </c>
      <c r="N11" s="30">
        <v>60</v>
      </c>
      <c r="O11" s="10"/>
      <c r="P11" s="31"/>
      <c r="Q11" s="36">
        <f>SUM(B11:P11)</f>
        <v>24240</v>
      </c>
      <c r="R11" s="37">
        <v>-0.22</v>
      </c>
      <c r="S11" s="38">
        <f>Q11*(1+R11)+R10</f>
        <v>17407.2</v>
      </c>
    </row>
  </sheetData>
  <mergeCells count="7">
    <mergeCell ref="A1:R1"/>
    <mergeCell ref="A2:R2"/>
    <mergeCell ref="K3:P3"/>
    <mergeCell ref="E5:F5"/>
    <mergeCell ref="E7:F7"/>
    <mergeCell ref="E9:F9"/>
    <mergeCell ref="E11:F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HELI-QIN</dc:creator>
  <cp:lastModifiedBy>WPS_1738983217</cp:lastModifiedBy>
  <dcterms:created xsi:type="dcterms:W3CDTF">2022-12-23T05:37:00Z</dcterms:created>
  <dcterms:modified xsi:type="dcterms:W3CDTF">2025-10-29T10:41:42Z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F4CD4CB589944E4CA49706307AA34F1A_13</vt:lpwstr>
  </property>
</Properties>
</file>